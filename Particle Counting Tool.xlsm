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yli Paterson\Documents\"/>
    </mc:Choice>
  </mc:AlternateContent>
  <xr:revisionPtr revIDLastSave="0" documentId="13_ncr:1_{EC81261E-27D2-4DA0-ACC2-A7FDF5B2CA2D}" xr6:coauthVersionLast="47" xr6:coauthVersionMax="47" xr10:uidLastSave="{00000000-0000-0000-0000-000000000000}"/>
  <bookViews>
    <workbookView xWindow="-330" yWindow="0" windowWidth="29130" windowHeight="15600" xr2:uid="{92EEBE85-2E62-4CB6-A477-E7AB8BF4722C}"/>
  </bookViews>
  <sheets>
    <sheet name="Caluculator" sheetId="1" r:id="rId1"/>
    <sheet name="Settings" sheetId="10" r:id="rId2"/>
    <sheet name="Data" sheetId="8" r:id="rId3"/>
  </sheets>
  <functionGroups builtInGroupCount="19"/>
  <definedNames>
    <definedName name="_xlnm._FilterDatabase" localSheetId="2" hidden="1">Data!$A$1:$AB$1</definedName>
    <definedName name="rngBitTotal">Caluculator!$Z$14</definedName>
    <definedName name="rngBitumen">Caluculator!$Y$17</definedName>
    <definedName name="rngBotLeft" localSheetId="0">Caluculator!$B$16</definedName>
    <definedName name="rngBotLeft" localSheetId="1">Settings!$B$16</definedName>
    <definedName name="rngCellSamp">Caluculator!$S$3</definedName>
    <definedName name="rngCellSampRep">Caluculator!$X$6</definedName>
    <definedName name="rngCenter" localSheetId="1">Settings!$S$5</definedName>
    <definedName name="rngCenterWeight">Settings!$T$5</definedName>
    <definedName name="rngCentParBit">Caluculator!$Z$10</definedName>
    <definedName name="rngCentParTWP">Caluculator!$Y$10</definedName>
    <definedName name="rngCentSq">Data!$I$1</definedName>
    <definedName name="rngCentTot">Caluculator!$X$10</definedName>
    <definedName name="rngCol">Caluculator!$V$17</definedName>
    <definedName name="rngCollDate" localSheetId="2">Data!$D$1</definedName>
    <definedName name="rngCollDate">Caluculator!$AD$2</definedName>
    <definedName name="rngDataType" localSheetId="2">Data!$H$1</definedName>
    <definedName name="rngEdge" localSheetId="1">Settings!$S$7</definedName>
    <definedName name="rngEdgeParBit">Caluculator!$Z$12</definedName>
    <definedName name="rngEdgeParTWP">Caluculator!$Y$12</definedName>
    <definedName name="rngEdgeSq">Data!$K$1</definedName>
    <definedName name="rngEdgeTot">Caluculator!$X$12</definedName>
    <definedName name="rngEdgeWeight">Settings!$T$7</definedName>
    <definedName name="rngMiddle" localSheetId="1">Settings!$S$6</definedName>
    <definedName name="rngMiddleWeight">Settings!$T$6</definedName>
    <definedName name="rngMidParBit">Caluculator!$Z$11</definedName>
    <definedName name="rngMidParTWP">Caluculator!$Y$11</definedName>
    <definedName name="rngMidSq">Data!$J$1</definedName>
    <definedName name="rngMidTot">Caluculator!$X$11</definedName>
    <definedName name="rngPartial" localSheetId="1">Settings!$S$4</definedName>
    <definedName name="rngPartialWeight">Settings!$T$4</definedName>
    <definedName name="rngParTotal">Data!$M$1</definedName>
    <definedName name="rngPartParBit">Caluculator!$Z$13</definedName>
    <definedName name="rngPartParTWP">Caluculator!$Y$13</definedName>
    <definedName name="rngPartSq">Data!$L$1</definedName>
    <definedName name="rngPartTot">Caluculator!$X$13</definedName>
    <definedName name="rngProcDate" localSheetId="2">Data!$F$1</definedName>
    <definedName name="rngProcDate">Caluculator!$AD$4</definedName>
    <definedName name="rngRow">Caluculator!$W$17</definedName>
    <definedName name="rngSampLoc" localSheetId="2">Data!$A$1</definedName>
    <definedName name="rngSampLoc">Caluculator!$X$2</definedName>
    <definedName name="rngSampName" localSheetId="2">Data!$C$1</definedName>
    <definedName name="rngSampName">Caluculator!$X$4</definedName>
    <definedName name="rngSampNum">Caluculator!$U$17</definedName>
    <definedName name="rngSampType" localSheetId="2">Data!$B$1</definedName>
    <definedName name="rngSampType">Caluculator!$X$3</definedName>
    <definedName name="rngSepStage" localSheetId="2">Data!$E$1</definedName>
    <definedName name="rngSepStage">Caluculator!$AD$3</definedName>
    <definedName name="rngSq1" localSheetId="2">Data!$N$1</definedName>
    <definedName name="rngSqTotal">Data!$G$1</definedName>
    <definedName name="rngTWP">Caluculator!$X$17</definedName>
    <definedName name="rngTwpTotal">Caluculator!$Y$14</definedName>
    <definedName name="rngWeightFactor" localSheetId="2">Data!#REF!</definedName>
    <definedName name="rngWeightFactor">Settings!#REF!</definedName>
    <definedName name="rngZone">Caluculator!$Z$17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Z13" i="1" l="1"/>
  <c r="Z12" i="1"/>
  <c r="Z11" i="1"/>
  <c r="Z10" i="1"/>
  <c r="Y13" i="1"/>
  <c r="Y12" i="1"/>
  <c r="Y11" i="1"/>
  <c r="Y10" i="1"/>
  <c r="T8" i="10" l="1"/>
  <c r="Y14" i="1" l="1"/>
  <c r="Z14" i="1"/>
</calcChain>
</file>

<file path=xl/sharedStrings.xml><?xml version="1.0" encoding="utf-8"?>
<sst xmlns="http://schemas.openxmlformats.org/spreadsheetml/2006/main" count="321" uniqueCount="227">
  <si>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</si>
  <si>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</si>
  <si>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</si>
  <si>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</si>
  <si>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</si>
  <si>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</si>
  <si>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</si>
  <si>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</si>
  <si>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</si>
  <si>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</si>
  <si>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</si>
  <si>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</si>
  <si>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</si>
  <si>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</si>
  <si>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</si>
  <si>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</si>
  <si>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</si>
  <si>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</si>
  <si>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</si>
  <si>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</si>
  <si>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</si>
  <si>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</si>
  <si>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</si>
  <si>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</si>
  <si>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</si>
  <si>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</si>
  <si>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</si>
  <si>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</si>
  <si>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</si>
  <si>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</si>
  <si>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</si>
  <si>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</si>
  <si>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Cells to Sample</t>
  </si>
  <si>
    <t>Row</t>
  </si>
  <si>
    <t>Col</t>
  </si>
  <si>
    <t>TWP</t>
  </si>
  <si>
    <t>Bitumen</t>
  </si>
  <si>
    <t>#</t>
  </si>
  <si>
    <t>Sample Location</t>
  </si>
  <si>
    <t>Sample Type</t>
  </si>
  <si>
    <t>Collection Date</t>
  </si>
  <si>
    <t>Separation Stage</t>
  </si>
  <si>
    <t>Processing Date</t>
  </si>
  <si>
    <t>Data Type</t>
  </si>
  <si>
    <t>Sample Name</t>
  </si>
  <si>
    <t>Sq1</t>
  </si>
  <si>
    <t>Squares Counted</t>
  </si>
  <si>
    <t>Partial</t>
  </si>
  <si>
    <t>Center</t>
  </si>
  <si>
    <t>Middle</t>
  </si>
  <si>
    <t>Edge</t>
  </si>
  <si>
    <t>Zone</t>
  </si>
  <si>
    <t>Weighting</t>
  </si>
  <si>
    <t>Squares</t>
  </si>
  <si>
    <t>Average</t>
  </si>
  <si>
    <t>Total</t>
  </si>
  <si>
    <t>Sq Counted</t>
  </si>
  <si>
    <t>Cent.Sq</t>
  </si>
  <si>
    <t>Mid.Sq</t>
  </si>
  <si>
    <t>Edge.Sq</t>
  </si>
  <si>
    <t>Part.Sq</t>
  </si>
  <si>
    <t>C</t>
  </si>
  <si>
    <t>M</t>
  </si>
  <si>
    <t>E</t>
  </si>
  <si>
    <t>Sq2</t>
  </si>
  <si>
    <t>Sq3</t>
  </si>
  <si>
    <t>Sq4</t>
  </si>
  <si>
    <t>Sq5</t>
  </si>
  <si>
    <t>Sq6</t>
  </si>
  <si>
    <t>Sq7</t>
  </si>
  <si>
    <t>Sq8</t>
  </si>
  <si>
    <t>Sq9</t>
  </si>
  <si>
    <t>Sq10</t>
  </si>
  <si>
    <t>Sq11</t>
  </si>
  <si>
    <t>Sq12</t>
  </si>
  <si>
    <t>Sq13</t>
  </si>
  <si>
    <t>Sq14</t>
  </si>
  <si>
    <t>Sq15</t>
  </si>
  <si>
    <t>Sq16</t>
  </si>
  <si>
    <t>Sq17</t>
  </si>
  <si>
    <t>Sq18</t>
  </si>
  <si>
    <t>Sq19</t>
  </si>
  <si>
    <t>Sq20</t>
  </si>
  <si>
    <t>Sq21</t>
  </si>
  <si>
    <t>Sq22</t>
  </si>
  <si>
    <t>Sq23</t>
  </si>
  <si>
    <t>Sq24</t>
  </si>
  <si>
    <t>Sq25</t>
  </si>
  <si>
    <t>Sq26</t>
  </si>
  <si>
    <t>Sq27</t>
  </si>
  <si>
    <t>Sq28</t>
  </si>
  <si>
    <t>Sq29</t>
  </si>
  <si>
    <t>Sq30</t>
  </si>
  <si>
    <t>Sq31</t>
  </si>
  <si>
    <t>Sq32</t>
  </si>
  <si>
    <t>Sq33</t>
  </si>
  <si>
    <t>Sq34</t>
  </si>
  <si>
    <t>Sq35</t>
  </si>
  <si>
    <t>Sq36</t>
  </si>
  <si>
    <t>Sq37</t>
  </si>
  <si>
    <t>Sq38</t>
  </si>
  <si>
    <t>Sq39</t>
  </si>
  <si>
    <t>Sq40</t>
  </si>
  <si>
    <t>Sq41</t>
  </si>
  <si>
    <t>Sq42</t>
  </si>
  <si>
    <t>Sq43</t>
  </si>
  <si>
    <t>Sq44</t>
  </si>
  <si>
    <t>Sq45</t>
  </si>
  <si>
    <t>Sq46</t>
  </si>
  <si>
    <t>Sq47</t>
  </si>
  <si>
    <t>Sq48</t>
  </si>
  <si>
    <t>Sq49</t>
  </si>
  <si>
    <t>Sq50</t>
  </si>
  <si>
    <t>Sq51</t>
  </si>
  <si>
    <t>Sq52</t>
  </si>
  <si>
    <t>Sq53</t>
  </si>
  <si>
    <t>Sq54</t>
  </si>
  <si>
    <t>Sq55</t>
  </si>
  <si>
    <t>Sq56</t>
  </si>
  <si>
    <t>Sq57</t>
  </si>
  <si>
    <t>Sq58</t>
  </si>
  <si>
    <t>Sq59</t>
  </si>
  <si>
    <t>Sq60</t>
  </si>
  <si>
    <t>Sq61</t>
  </si>
  <si>
    <t>Sq62</t>
  </si>
  <si>
    <t>Sq63</t>
  </si>
  <si>
    <t>Sq64</t>
  </si>
  <si>
    <t>Sq65</t>
  </si>
  <si>
    <t>Sq66</t>
  </si>
  <si>
    <t>Sq67</t>
  </si>
  <si>
    <t>Sq68</t>
  </si>
  <si>
    <t>Sq69</t>
  </si>
  <si>
    <t>Sq70</t>
  </si>
  <si>
    <t>Sq71</t>
  </si>
  <si>
    <t>Sq72</t>
  </si>
  <si>
    <t>Sq73</t>
  </si>
  <si>
    <t>Sq74</t>
  </si>
  <si>
    <t>Sq75</t>
  </si>
  <si>
    <t>Sq76</t>
  </si>
  <si>
    <t>Sq77</t>
  </si>
  <si>
    <t>Sq78</t>
  </si>
  <si>
    <t>Sq79</t>
  </si>
  <si>
    <t>Sq80</t>
  </si>
  <si>
    <t>Sq81</t>
  </si>
  <si>
    <t>Sq82</t>
  </si>
  <si>
    <t>Sq83</t>
  </si>
  <si>
    <t>Sq84</t>
  </si>
  <si>
    <t>Sq85</t>
  </si>
  <si>
    <t>Sq86</t>
  </si>
  <si>
    <t>Sq87</t>
  </si>
  <si>
    <t>Sq88</t>
  </si>
  <si>
    <t>Sq89</t>
  </si>
  <si>
    <t>Sq90</t>
  </si>
  <si>
    <t>Sq91</t>
  </si>
  <si>
    <t>Sq92</t>
  </si>
  <si>
    <t>Sq93</t>
  </si>
  <si>
    <t>Sq94</t>
  </si>
  <si>
    <t>Sq95</t>
  </si>
  <si>
    <t>Sq96</t>
  </si>
  <si>
    <t>Sq97</t>
  </si>
  <si>
    <t>Sq98</t>
  </si>
  <si>
    <t>Sq99</t>
  </si>
  <si>
    <t>Sq100</t>
  </si>
  <si>
    <t>Sq101</t>
  </si>
  <si>
    <t>Sq102</t>
  </si>
  <si>
    <t>Sq103</t>
  </si>
  <si>
    <t>Sq104</t>
  </si>
  <si>
    <t>Sq105</t>
  </si>
  <si>
    <t>Sq106</t>
  </si>
  <si>
    <t>Sq107</t>
  </si>
  <si>
    <t>Sq108</t>
  </si>
  <si>
    <t>Sq109</t>
  </si>
  <si>
    <t>Sq110</t>
  </si>
  <si>
    <t>Sq111</t>
  </si>
  <si>
    <t>Sq112</t>
  </si>
  <si>
    <t>Sq113</t>
  </si>
  <si>
    <t>Sq114</t>
  </si>
  <si>
    <t>Sq115</t>
  </si>
  <si>
    <t>Sq116</t>
  </si>
  <si>
    <t>Sq117</t>
  </si>
  <si>
    <t>Sq118</t>
  </si>
  <si>
    <t>Sq119</t>
  </si>
  <si>
    <t>Sq120</t>
  </si>
  <si>
    <t>Sq121</t>
  </si>
  <si>
    <t>Sq122</t>
  </si>
  <si>
    <t>Sq123</t>
  </si>
  <si>
    <t>Sq124</t>
  </si>
  <si>
    <t>Sq125</t>
  </si>
  <si>
    <t>Sq126</t>
  </si>
  <si>
    <t>Sq127</t>
  </si>
  <si>
    <t>Sq128</t>
  </si>
  <si>
    <t>Sq129</t>
  </si>
  <si>
    <t>Sq130</t>
  </si>
  <si>
    <t>Sq131</t>
  </si>
  <si>
    <t>Sq132</t>
  </si>
  <si>
    <t>Sq133</t>
  </si>
  <si>
    <t>Sq134</t>
  </si>
  <si>
    <t>Sq135</t>
  </si>
  <si>
    <t>Sq136</t>
  </si>
  <si>
    <t>Sq137</t>
  </si>
  <si>
    <t>Sq138</t>
  </si>
  <si>
    <t>Sq139</t>
  </si>
  <si>
    <t>Sq140</t>
  </si>
  <si>
    <t>Sq141</t>
  </si>
  <si>
    <t>Sq142</t>
  </si>
  <si>
    <t>Sq143</t>
  </si>
  <si>
    <t>Sq144</t>
  </si>
  <si>
    <t>Sq145</t>
  </si>
  <si>
    <t>Sq146</t>
  </si>
  <si>
    <t>Sq147</t>
  </si>
  <si>
    <t>Sq148</t>
  </si>
  <si>
    <t>Sq149</t>
  </si>
  <si>
    <t>Sq150</t>
  </si>
  <si>
    <t>Sq151</t>
  </si>
  <si>
    <t>Sq152</t>
  </si>
  <si>
    <t>Sq153</t>
  </si>
  <si>
    <t>Sq154</t>
  </si>
  <si>
    <t>Sq155</t>
  </si>
  <si>
    <t>Sq156</t>
  </si>
  <si>
    <t>Sq157</t>
  </si>
  <si>
    <t>Sq158</t>
  </si>
  <si>
    <t>Sq159</t>
  </si>
  <si>
    <t>Sq160</t>
  </si>
  <si>
    <t>Sq161</t>
  </si>
  <si>
    <t>Sq162</t>
  </si>
  <si>
    <t>Sq163</t>
  </si>
  <si>
    <t>Sq164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</si>
</sst>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4472C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4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 indent="1"/>
    </xf>
    <xf numFmtId="0" fontId="1" fillId="2" borderId="1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/>
    <xf numFmtId="0" fontId="2" fillId="3" borderId="0" xfId="0" applyFont="1" applyFill="1" applyAlignment="1">
      <alignment horizontal="right" vertical="center" indent="1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1" fillId="4" borderId="0" xfId="0" applyFont="1" applyFill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2" borderId="1" xfId="0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0" fillId="6" borderId="2" xfId="0" applyFill="1" applyBorder="1" applyAlignment="1">
      <alignment horizontal="center" vertical="center" shrinkToFit="1"/>
    </xf>
    <xf numFmtId="0" fontId="0" fillId="6" borderId="1" xfId="0" applyFill="1" applyBorder="1" applyAlignment="1">
      <alignment horizontal="center" vertical="center" shrinkToFit="1"/>
    </xf>
    <xf numFmtId="0" fontId="0" fillId="2" borderId="3" xfId="0" applyFill="1" applyBorder="1" applyAlignment="1">
      <alignment horizontal="center" vertical="center" shrinkToFit="1"/>
    </xf>
    <xf numFmtId="0" fontId="0" fillId="6" borderId="3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9" fontId="1" fillId="0" borderId="1" xfId="1" applyFont="1" applyBorder="1" applyAlignment="1">
      <alignment horizontal="center" vertical="center"/>
    </xf>
    <xf numFmtId="9" fontId="1" fillId="8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" fillId="0" borderId="7" xfId="0" applyFont="1" applyBorder="1"/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9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 shrinkToFit="1"/>
    </xf>
    <xf numFmtId="14" fontId="1" fillId="0" borderId="1" xfId="0" applyNumberFormat="1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 shrinkToFi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3300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94793</xdr:colOff>
      <xdr:row>0</xdr:row>
      <xdr:rowOff>76202</xdr:rowOff>
    </xdr:from>
    <xdr:to>
      <xdr:col>16</xdr:col>
      <xdr:colOff>243839</xdr:colOff>
      <xdr:row>15</xdr:row>
      <xdr:rowOff>227731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CB82548-845F-43A2-AE04-A822FA3D295D}"/>
            </a:ext>
          </a:extLst>
        </xdr:cNvPr>
        <xdr:cNvSpPr/>
      </xdr:nvSpPr>
      <xdr:spPr>
        <a:xfrm>
          <a:off x="704393" y="76202"/>
          <a:ext cx="4149546" cy="4152029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6461</xdr:colOff>
      <xdr:row>5</xdr:row>
      <xdr:rowOff>74874</xdr:rowOff>
    </xdr:from>
    <xdr:to>
      <xdr:col>19</xdr:col>
      <xdr:colOff>97569</xdr:colOff>
      <xdr:row>6</xdr:row>
      <xdr:rowOff>112974</xdr:rowOff>
    </xdr:to>
    <xdr:sp macro="[0]!runRandomSamp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D1C3685-43BE-4F2D-9C72-2B1376F6C945}"/>
            </a:ext>
          </a:extLst>
        </xdr:cNvPr>
        <xdr:cNvSpPr/>
      </xdr:nvSpPr>
      <xdr:spPr>
        <a:xfrm>
          <a:off x="5089001" y="1941774"/>
          <a:ext cx="1356028" cy="3048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Random</a:t>
          </a:r>
          <a:r>
            <a:rPr lang="en-US" sz="1200" baseline="0"/>
            <a:t> Sample</a:t>
          </a:r>
          <a:endParaRPr lang="en-US" sz="1200"/>
        </a:p>
      </xdr:txBody>
    </xdr:sp>
    <xdr:clientData/>
  </xdr:twoCellAnchor>
  <xdr:twoCellAnchor>
    <xdr:from>
      <xdr:col>18</xdr:col>
      <xdr:colOff>17725</xdr:colOff>
      <xdr:row>11</xdr:row>
      <xdr:rowOff>18553</xdr:rowOff>
    </xdr:from>
    <xdr:to>
      <xdr:col>19</xdr:col>
      <xdr:colOff>116785</xdr:colOff>
      <xdr:row>12</xdr:row>
      <xdr:rowOff>56652</xdr:rowOff>
    </xdr:to>
    <xdr:sp macro="[0]!clearSampleInf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C0BFA10-5333-4D57-8B49-4690FACEC98F}"/>
            </a:ext>
          </a:extLst>
        </xdr:cNvPr>
        <xdr:cNvSpPr/>
      </xdr:nvSpPr>
      <xdr:spPr>
        <a:xfrm>
          <a:off x="5100265" y="3485653"/>
          <a:ext cx="1363980" cy="3047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Clear Sample Info</a:t>
          </a:r>
        </a:p>
      </xdr:txBody>
    </xdr:sp>
    <xdr:clientData/>
  </xdr:twoCellAnchor>
  <xdr:twoCellAnchor>
    <xdr:from>
      <xdr:col>22</xdr:col>
      <xdr:colOff>184868</xdr:colOff>
      <xdr:row>14</xdr:row>
      <xdr:rowOff>82494</xdr:rowOff>
    </xdr:from>
    <xdr:to>
      <xdr:col>26</xdr:col>
      <xdr:colOff>30480</xdr:colOff>
      <xdr:row>15</xdr:row>
      <xdr:rowOff>120594</xdr:rowOff>
    </xdr:to>
    <xdr:sp macro="[0]!NoisySave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D921332-030B-4C91-BF25-186DFC91E409}"/>
            </a:ext>
          </a:extLst>
        </xdr:cNvPr>
        <xdr:cNvSpPr/>
      </xdr:nvSpPr>
      <xdr:spPr>
        <a:xfrm>
          <a:off x="8010608" y="3816294"/>
          <a:ext cx="2131612" cy="304800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Save</a:t>
          </a:r>
        </a:p>
      </xdr:txBody>
    </xdr:sp>
    <xdr:clientData/>
  </xdr:twoCellAnchor>
  <xdr:twoCellAnchor>
    <xdr:from>
      <xdr:col>18</xdr:col>
      <xdr:colOff>10105</xdr:colOff>
      <xdr:row>9</xdr:row>
      <xdr:rowOff>216673</xdr:rowOff>
    </xdr:from>
    <xdr:to>
      <xdr:col>19</xdr:col>
      <xdr:colOff>109165</xdr:colOff>
      <xdr:row>10</xdr:row>
      <xdr:rowOff>254772</xdr:rowOff>
    </xdr:to>
    <xdr:sp macro="[0]!clearCell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A65246B-B4F5-477C-8B84-0F7327911BBC}"/>
            </a:ext>
          </a:extLst>
        </xdr:cNvPr>
        <xdr:cNvSpPr/>
      </xdr:nvSpPr>
      <xdr:spPr>
        <a:xfrm>
          <a:off x="5092645" y="3150373"/>
          <a:ext cx="1363980" cy="304799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Clear</a:t>
          </a:r>
        </a:p>
      </xdr:txBody>
    </xdr:sp>
    <xdr:clientData/>
  </xdr:twoCellAnchor>
  <xdr:twoCellAnchor>
    <xdr:from>
      <xdr:col>18</xdr:col>
      <xdr:colOff>7620</xdr:colOff>
      <xdr:row>6</xdr:row>
      <xdr:rowOff>137160</xdr:rowOff>
    </xdr:from>
    <xdr:to>
      <xdr:col>19</xdr:col>
      <xdr:colOff>98728</xdr:colOff>
      <xdr:row>7</xdr:row>
      <xdr:rowOff>175260</xdr:rowOff>
    </xdr:to>
    <xdr:sp macro="[0]!Sampler.runAllSquar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96769148-8CB8-439A-BFC5-32CC6BCFBED5}"/>
            </a:ext>
          </a:extLst>
        </xdr:cNvPr>
        <xdr:cNvSpPr/>
      </xdr:nvSpPr>
      <xdr:spPr>
        <a:xfrm>
          <a:off x="5090160" y="2270760"/>
          <a:ext cx="1356028" cy="304800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/>
            <a:t>Sample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3353</xdr:colOff>
      <xdr:row>0</xdr:row>
      <xdr:rowOff>76202</xdr:rowOff>
    </xdr:from>
    <xdr:to>
      <xdr:col>16</xdr:col>
      <xdr:colOff>152399</xdr:colOff>
      <xdr:row>15</xdr:row>
      <xdr:rowOff>227731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AA17412C-AF98-494A-B564-6426B5836BFC}"/>
            </a:ext>
          </a:extLst>
        </xdr:cNvPr>
        <xdr:cNvSpPr/>
      </xdr:nvSpPr>
      <xdr:spPr>
        <a:xfrm>
          <a:off x="612953" y="76202"/>
          <a:ext cx="4124698" cy="4127181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FABFD-312C-4221-8409-82BB4B4906F0}">
  <sheetPr codeName="wsMain"/>
  <dimension ref="A1:BJ181"/>
  <sheetViews>
    <sheetView showGridLines="0" tabSelected="1" topLeftCell="F1" zoomScaleNormal="100" workbookViewId="0">
      <selection activeCell="S4" sqref="S4"/>
    </sheetView>
  </sheetViews>
  <sheetFormatPr defaultColWidth="8.85546875" defaultRowHeight="14.25" x14ac:dyDescent="0.2"/>
  <cols>
    <col min="1" max="1" width="8.85546875" style="1"/>
    <col min="2" max="17" width="3.85546875" style="1" customWidth="1"/>
    <col min="18" max="18" width="3" style="1" customWidth="1"/>
    <col min="19" max="19" width="18.42578125" style="1" customWidth="1"/>
    <col min="20" max="20" width="8.85546875" style="1" customWidth="1"/>
    <col min="21" max="23" width="6.42578125" style="9" customWidth="1"/>
    <col min="24" max="25" width="8.85546875" style="9"/>
    <col min="26" max="26" width="9.140625" style="1" bestFit="1" customWidth="1"/>
    <col min="27" max="28" width="8.85546875" style="1"/>
    <col min="29" max="29" width="0.140625" style="1" customWidth="1"/>
    <col min="30" max="16384" width="8.85546875" style="1"/>
  </cols>
  <sheetData>
    <row r="1" spans="1:62" ht="21" customHeight="1" x14ac:dyDescent="0.2">
      <c r="A1" s="4" t="s">
        <v>15</v>
      </c>
      <c r="B1" s="10"/>
      <c r="C1" s="10"/>
      <c r="D1" s="10"/>
      <c r="E1" s="10"/>
      <c r="F1" s="29"/>
      <c r="G1" s="29"/>
      <c r="H1" s="29"/>
      <c r="I1" s="29"/>
      <c r="J1" s="29"/>
      <c r="K1" s="29"/>
      <c r="L1" s="29"/>
      <c r="M1" s="33"/>
      <c r="N1" s="10"/>
      <c r="O1" s="10"/>
      <c r="P1" s="10"/>
      <c r="Q1" s="10"/>
      <c r="R1" s="7"/>
      <c r="U1" s="1"/>
      <c r="V1" s="1"/>
      <c r="W1" s="1"/>
      <c r="X1" s="1"/>
      <c r="Y1" s="1"/>
      <c r="BJ1" s="12"/>
    </row>
    <row r="2" spans="1:62" ht="21" customHeight="1" x14ac:dyDescent="0.2">
      <c r="A2" s="4" t="s">
        <v>14</v>
      </c>
      <c r="B2" s="10"/>
      <c r="C2" s="10"/>
      <c r="D2" s="10"/>
      <c r="E2" s="29"/>
      <c r="F2" s="29"/>
      <c r="G2" s="29"/>
      <c r="H2" s="39">
        <v>50</v>
      </c>
      <c r="I2" s="29"/>
      <c r="J2" s="29"/>
      <c r="K2" s="29"/>
      <c r="L2" s="29"/>
      <c r="M2" s="29"/>
      <c r="N2" s="29"/>
      <c r="O2" s="10"/>
      <c r="P2" s="10"/>
      <c r="Q2" s="10"/>
      <c r="R2" s="7"/>
      <c r="S2" s="5" t="s">
        <v>32</v>
      </c>
      <c r="U2" s="14" t="s">
        <v>38</v>
      </c>
      <c r="V2" s="14"/>
      <c r="W2" s="14"/>
      <c r="X2" s="50"/>
      <c r="Y2" s="50"/>
      <c r="AA2" s="14" t="s">
        <v>40</v>
      </c>
      <c r="AB2" s="15"/>
      <c r="AC2" s="15"/>
      <c r="AD2" s="51"/>
      <c r="AE2" s="50"/>
      <c r="BJ2" s="12"/>
    </row>
    <row r="3" spans="1:62" ht="21" customHeight="1" x14ac:dyDescent="0.2">
      <c r="A3" s="4" t="s">
        <v>13</v>
      </c>
      <c r="B3" s="10"/>
      <c r="C3" s="31"/>
      <c r="D3" s="29"/>
      <c r="E3" s="39">
        <v>48</v>
      </c>
      <c r="F3" s="29"/>
      <c r="G3" s="29"/>
      <c r="H3" s="29"/>
      <c r="I3" s="29"/>
      <c r="J3" s="29"/>
      <c r="K3" s="39">
        <v>39</v>
      </c>
      <c r="L3" s="29"/>
      <c r="M3" s="29"/>
      <c r="N3" s="29"/>
      <c r="O3" s="29"/>
      <c r="P3" s="10"/>
      <c r="Q3" s="10"/>
      <c r="R3" s="7"/>
      <c r="S3" s="2">
        <v>50</v>
      </c>
      <c r="U3" s="14" t="s">
        <v>39</v>
      </c>
      <c r="V3" s="15"/>
      <c r="W3" s="15"/>
      <c r="X3" s="50"/>
      <c r="Y3" s="50"/>
      <c r="AA3" s="14" t="s">
        <v>41</v>
      </c>
      <c r="AB3" s="15"/>
      <c r="AC3" s="15"/>
      <c r="AD3" s="48"/>
      <c r="AE3" s="49"/>
      <c r="BJ3" s="12"/>
    </row>
    <row r="4" spans="1:62" ht="21" customHeight="1" x14ac:dyDescent="0.2">
      <c r="A4" s="4" t="s">
        <v>12</v>
      </c>
      <c r="B4" s="10"/>
      <c r="C4" s="29"/>
      <c r="D4" s="29"/>
      <c r="E4" s="29"/>
      <c r="F4" s="29"/>
      <c r="G4" s="39">
        <v>49</v>
      </c>
      <c r="H4" s="29"/>
      <c r="I4" s="39">
        <v>40</v>
      </c>
      <c r="J4" s="29"/>
      <c r="K4" s="29"/>
      <c r="L4" s="29"/>
      <c r="M4" s="29"/>
      <c r="N4" s="29"/>
      <c r="O4" s="39">
        <v>37</v>
      </c>
      <c r="P4" s="32"/>
      <c r="Q4" s="10"/>
      <c r="R4" s="7"/>
      <c r="U4" s="13" t="s">
        <v>44</v>
      </c>
      <c r="V4" s="13"/>
      <c r="W4" s="13"/>
      <c r="X4" s="52"/>
      <c r="Y4" s="52"/>
      <c r="AA4" s="14" t="s">
        <v>42</v>
      </c>
      <c r="AB4" s="15"/>
      <c r="AC4" s="15"/>
      <c r="AD4" s="53"/>
      <c r="AE4" s="49"/>
      <c r="BJ4" s="12"/>
    </row>
    <row r="5" spans="1:62" ht="21" customHeight="1" x14ac:dyDescent="0.2">
      <c r="A5" s="4" t="s">
        <v>11</v>
      </c>
      <c r="B5" s="29"/>
      <c r="C5" s="29"/>
      <c r="D5" s="29"/>
      <c r="E5" s="29"/>
      <c r="F5" s="29"/>
      <c r="G5" s="29"/>
      <c r="H5" s="39">
        <v>41</v>
      </c>
      <c r="I5" s="29"/>
      <c r="J5" s="29"/>
      <c r="K5" s="29"/>
      <c r="L5" s="29"/>
      <c r="M5" s="29"/>
      <c r="N5" s="29"/>
      <c r="O5" s="39">
        <v>36</v>
      </c>
      <c r="P5" s="29"/>
      <c r="Q5" s="10"/>
      <c r="R5" s="7"/>
    </row>
    <row r="6" spans="1:62" ht="21" customHeight="1" x14ac:dyDescent="0.2">
      <c r="A6" s="4" t="s">
        <v>10</v>
      </c>
      <c r="B6" s="29"/>
      <c r="C6" s="39">
        <v>47</v>
      </c>
      <c r="D6" s="39">
        <v>46</v>
      </c>
      <c r="E6" s="29"/>
      <c r="F6" s="29"/>
      <c r="G6" s="39">
        <v>42</v>
      </c>
      <c r="H6" s="29"/>
      <c r="I6" s="29"/>
      <c r="J6" s="39">
        <v>13</v>
      </c>
      <c r="K6" s="29"/>
      <c r="L6" s="29"/>
      <c r="M6" s="29"/>
      <c r="N6" s="29"/>
      <c r="O6" s="39">
        <v>35</v>
      </c>
      <c r="P6" s="29"/>
      <c r="Q6" s="29"/>
      <c r="R6" s="7"/>
      <c r="U6" s="14" t="s">
        <v>46</v>
      </c>
      <c r="W6" s="14"/>
      <c r="X6" s="52">
        <v>50</v>
      </c>
      <c r="Y6" s="52"/>
    </row>
    <row r="7" spans="1:62" ht="21" customHeight="1" x14ac:dyDescent="0.2">
      <c r="A7" s="4" t="s">
        <v>9</v>
      </c>
      <c r="B7" s="29"/>
      <c r="C7" s="29"/>
      <c r="D7" s="39">
        <v>45</v>
      </c>
      <c r="E7" s="39">
        <v>44</v>
      </c>
      <c r="F7" s="29"/>
      <c r="G7" s="39">
        <v>43</v>
      </c>
      <c r="H7" s="29"/>
      <c r="I7" s="39">
        <v>11</v>
      </c>
      <c r="J7" s="39">
        <v>12</v>
      </c>
      <c r="K7" s="39">
        <v>14</v>
      </c>
      <c r="L7" s="39">
        <v>15</v>
      </c>
      <c r="M7" s="29"/>
      <c r="N7" s="39">
        <v>34</v>
      </c>
      <c r="O7" s="29"/>
      <c r="P7" s="39">
        <v>38</v>
      </c>
      <c r="Q7" s="29"/>
      <c r="R7" s="7"/>
    </row>
    <row r="8" spans="1:62" ht="21" customHeight="1" x14ac:dyDescent="0.25">
      <c r="A8" s="4" t="s">
        <v>8</v>
      </c>
      <c r="B8" s="29"/>
      <c r="C8" s="29"/>
      <c r="D8" s="29"/>
      <c r="E8" s="29"/>
      <c r="F8" s="29"/>
      <c r="G8" s="29"/>
      <c r="H8" s="29"/>
      <c r="I8" s="39">
        <v>10</v>
      </c>
      <c r="J8" s="29"/>
      <c r="K8" s="29"/>
      <c r="L8" s="39">
        <v>16</v>
      </c>
      <c r="M8" s="39">
        <v>33</v>
      </c>
      <c r="N8" s="29"/>
      <c r="O8" s="29"/>
      <c r="P8" s="29"/>
      <c r="Q8" s="29"/>
      <c r="R8" s="7"/>
      <c r="V8" s="1"/>
      <c r="W8" s="1"/>
      <c r="Y8" s="35" t="s">
        <v>35</v>
      </c>
      <c r="Z8" s="36" t="s">
        <v>36</v>
      </c>
    </row>
    <row r="9" spans="1:62" ht="21" customHeight="1" x14ac:dyDescent="0.2">
      <c r="A9" s="4" t="s">
        <v>7</v>
      </c>
      <c r="B9" s="29"/>
      <c r="C9" s="29"/>
      <c r="D9" s="29"/>
      <c r="E9" s="29"/>
      <c r="F9" s="29"/>
      <c r="G9" s="29"/>
      <c r="H9" s="29"/>
      <c r="I9" s="39">
        <v>9</v>
      </c>
      <c r="J9" s="29"/>
      <c r="K9" s="29"/>
      <c r="L9" s="39">
        <v>17</v>
      </c>
      <c r="M9" s="29"/>
      <c r="N9" s="39">
        <v>31</v>
      </c>
      <c r="O9" s="39">
        <v>30</v>
      </c>
      <c r="P9" s="29"/>
      <c r="Q9" s="29"/>
      <c r="R9" s="7"/>
      <c r="V9" s="1"/>
      <c r="W9" s="1"/>
      <c r="X9" s="2" t="s">
        <v>53</v>
      </c>
      <c r="Y9" s="2" t="s">
        <v>54</v>
      </c>
      <c r="Z9" s="2" t="s">
        <v>54</v>
      </c>
    </row>
    <row r="10" spans="1:62" ht="21" customHeight="1" x14ac:dyDescent="0.2">
      <c r="A10" s="4" t="s">
        <v>6</v>
      </c>
      <c r="B10" s="29"/>
      <c r="C10" s="29"/>
      <c r="D10" s="29"/>
      <c r="E10" s="29"/>
      <c r="F10" s="39">
        <v>6</v>
      </c>
      <c r="G10" s="29"/>
      <c r="H10" s="29"/>
      <c r="I10" s="29"/>
      <c r="J10" s="39">
        <v>19</v>
      </c>
      <c r="K10" s="39">
        <v>18</v>
      </c>
      <c r="L10" s="29"/>
      <c r="M10" s="39">
        <v>32</v>
      </c>
      <c r="N10" s="29"/>
      <c r="O10" s="29"/>
      <c r="P10" s="39">
        <v>29</v>
      </c>
      <c r="Q10" s="29"/>
      <c r="R10" s="7"/>
      <c r="V10" s="1" t="s">
        <v>48</v>
      </c>
      <c r="W10" s="1"/>
      <c r="X10" s="2">
        <v>35</v>
      </c>
      <c r="Y10" s="2" t="str">
        <f>IFERROR(AVERAGEIF($Z$18:$Z$67,"C",$X$18:$X$67),"")</f>
        <v/>
      </c>
      <c r="Z10" s="2" t="str">
        <f>IFERROR(AVERAGEIF($Z$18:$Z$67,"C",$Y$18:$Y$67),"")</f>
        <v/>
      </c>
    </row>
    <row r="11" spans="1:62" ht="21" customHeight="1" x14ac:dyDescent="0.2">
      <c r="A11" s="4" t="s">
        <v>5</v>
      </c>
      <c r="B11" s="29"/>
      <c r="C11" s="29"/>
      <c r="D11" s="29"/>
      <c r="E11" s="39">
        <v>7</v>
      </c>
      <c r="F11" s="39">
        <v>5</v>
      </c>
      <c r="G11" s="29"/>
      <c r="H11" s="39">
        <v>4</v>
      </c>
      <c r="I11" s="29"/>
      <c r="J11" s="29"/>
      <c r="K11" s="29"/>
      <c r="L11" s="39">
        <v>20</v>
      </c>
      <c r="M11" s="29"/>
      <c r="N11" s="29"/>
      <c r="O11" s="29"/>
      <c r="P11" s="31"/>
      <c r="Q11" s="29"/>
      <c r="R11" s="7"/>
      <c r="V11" s="1" t="s">
        <v>49</v>
      </c>
      <c r="W11" s="1"/>
      <c r="X11" s="2">
        <v>103</v>
      </c>
      <c r="Y11" s="2" t="str">
        <f>IFERROR(AVERAGEIF($Z$18:$Z$67,"M",$X$18:$X$67),"")</f>
        <v/>
      </c>
      <c r="Z11" s="2" t="str">
        <f>IFERROR(AVERAGEIF($Z$18:$Z$67,"M",$Y$18:$Y$67),"")</f>
        <v/>
      </c>
    </row>
    <row r="12" spans="1:62" ht="21" customHeight="1" x14ac:dyDescent="0.2">
      <c r="A12" s="4" t="s">
        <v>4</v>
      </c>
      <c r="B12" s="29"/>
      <c r="C12" s="30"/>
      <c r="D12" s="29"/>
      <c r="E12" s="29"/>
      <c r="F12" s="39">
        <v>8</v>
      </c>
      <c r="G12" s="29"/>
      <c r="H12" s="29"/>
      <c r="I12" s="29"/>
      <c r="J12" s="29"/>
      <c r="K12" s="29"/>
      <c r="L12" s="39">
        <v>21</v>
      </c>
      <c r="M12" s="39">
        <v>22</v>
      </c>
      <c r="N12" s="29"/>
      <c r="O12" s="47">
        <v>28</v>
      </c>
      <c r="P12" s="29"/>
      <c r="Q12" s="10"/>
      <c r="R12" s="7"/>
      <c r="V12" s="1" t="s">
        <v>50</v>
      </c>
      <c r="W12" s="1"/>
      <c r="X12" s="2">
        <v>26</v>
      </c>
      <c r="Y12" s="2" t="str">
        <f>IFERROR(AVERAGEIF($Z$18:$Z$67,"E",$X$18:$X$67),"")</f>
        <v/>
      </c>
      <c r="Z12" s="2" t="str">
        <f>IFERROR(AVERAGEIF($Z$18:$Z$67,"E",$Y$18:$Y$67),"")</f>
        <v/>
      </c>
    </row>
    <row r="13" spans="1:62" ht="21" customHeight="1" thickBot="1" x14ac:dyDescent="0.25">
      <c r="A13" s="4" t="s">
        <v>3</v>
      </c>
      <c r="B13" s="10"/>
      <c r="C13" s="29"/>
      <c r="D13" s="30"/>
      <c r="E13" s="29"/>
      <c r="F13" s="29"/>
      <c r="G13" s="29"/>
      <c r="H13" s="29"/>
      <c r="I13" s="39">
        <v>3</v>
      </c>
      <c r="J13" s="29"/>
      <c r="K13" s="29"/>
      <c r="L13" s="29"/>
      <c r="M13" s="39">
        <v>23</v>
      </c>
      <c r="N13" s="29"/>
      <c r="O13" s="29"/>
      <c r="P13" s="29"/>
      <c r="Q13" s="10"/>
      <c r="R13" s="7"/>
      <c r="V13" s="34" t="s">
        <v>47</v>
      </c>
      <c r="W13" s="34"/>
      <c r="X13" s="38">
        <v>49</v>
      </c>
      <c r="Y13" s="38">
        <f>IFERROR(AVERAGEIF($Z$18:$Z$67,"P",$X$18:$X$67),0)</f>
        <v>0</v>
      </c>
      <c r="Z13" s="38">
        <f>IFERROR(AVERAGEIF($Z$18:$Z$67,"P",$Y$18:$Y$67),0)</f>
        <v>0</v>
      </c>
    </row>
    <row r="14" spans="1:62" ht="21" customHeight="1" thickTop="1" x14ac:dyDescent="0.2">
      <c r="A14" s="4" t="s">
        <v>2</v>
      </c>
      <c r="B14" s="10"/>
      <c r="C14" s="29"/>
      <c r="D14" s="29"/>
      <c r="E14" s="29"/>
      <c r="F14" s="29"/>
      <c r="G14" s="29"/>
      <c r="H14" s="39">
        <v>2</v>
      </c>
      <c r="I14" s="29"/>
      <c r="J14" s="29"/>
      <c r="K14" s="39">
        <v>26</v>
      </c>
      <c r="L14" s="39">
        <v>25</v>
      </c>
      <c r="M14" s="39">
        <v>24</v>
      </c>
      <c r="N14" s="39">
        <v>27</v>
      </c>
      <c r="O14" s="29"/>
      <c r="P14" s="10"/>
      <c r="Q14" s="10"/>
      <c r="R14" s="7"/>
      <c r="V14" s="1" t="s">
        <v>55</v>
      </c>
      <c r="W14" s="1"/>
      <c r="Y14" s="37">
        <f>IFERROR(SUMPRODUCT(X10:X13,Y10:Y13),"")</f>
        <v>0</v>
      </c>
      <c r="Z14" s="37">
        <f>IFERROR(SUMPRODUCT(X10:X13,Z10:Z13),"")</f>
        <v>0</v>
      </c>
    </row>
    <row r="15" spans="1:62" ht="21" customHeight="1" x14ac:dyDescent="0.2">
      <c r="A15" s="8" t="s">
        <v>1</v>
      </c>
      <c r="B15" s="10"/>
      <c r="C15" s="10"/>
      <c r="D15" s="29"/>
      <c r="E15" s="29"/>
      <c r="F15" s="30"/>
      <c r="G15" s="39">
        <v>1</v>
      </c>
      <c r="H15" s="29"/>
      <c r="I15" s="29"/>
      <c r="J15" s="29"/>
      <c r="K15" s="29"/>
      <c r="L15" s="29"/>
      <c r="M15" s="29"/>
      <c r="N15" s="29"/>
      <c r="O15" s="10"/>
      <c r="P15" s="10"/>
      <c r="Q15" s="10"/>
      <c r="R15" s="7"/>
    </row>
    <row r="16" spans="1:62" ht="21" customHeight="1" x14ac:dyDescent="0.2">
      <c r="A16" s="4" t="s">
        <v>0</v>
      </c>
      <c r="B16" s="10"/>
      <c r="C16" s="10"/>
      <c r="D16" s="10"/>
      <c r="E16" s="10"/>
      <c r="F16" s="29"/>
      <c r="G16" s="30"/>
      <c r="H16" s="29"/>
      <c r="I16" s="29"/>
      <c r="J16" s="29"/>
      <c r="K16" s="29"/>
      <c r="L16" s="31"/>
      <c r="M16" s="29"/>
      <c r="N16" s="10"/>
      <c r="O16" s="10"/>
      <c r="P16" s="10"/>
      <c r="Q16" s="10"/>
    </row>
    <row r="17" spans="2:26" x14ac:dyDescent="0.2">
      <c r="B17" s="3" t="s">
        <v>16</v>
      </c>
      <c r="C17" s="6" t="s">
        <v>17</v>
      </c>
      <c r="D17" s="3" t="s">
        <v>18</v>
      </c>
      <c r="E17" s="3" t="s">
        <v>19</v>
      </c>
      <c r="F17" s="3" t="s">
        <v>20</v>
      </c>
      <c r="G17" s="3" t="s">
        <v>21</v>
      </c>
      <c r="H17" s="3" t="s">
        <v>22</v>
      </c>
      <c r="I17" s="3" t="s">
        <v>23</v>
      </c>
      <c r="J17" s="3" t="s">
        <v>24</v>
      </c>
      <c r="K17" s="6" t="s">
        <v>25</v>
      </c>
      <c r="L17" s="6" t="s">
        <v>26</v>
      </c>
      <c r="M17" s="6" t="s">
        <v>27</v>
      </c>
      <c r="N17" s="6" t="s">
        <v>28</v>
      </c>
      <c r="O17" s="6" t="s">
        <v>29</v>
      </c>
      <c r="P17" s="6" t="s">
        <v>30</v>
      </c>
      <c r="Q17" s="6" t="s">
        <v>31</v>
      </c>
      <c r="R17" s="7"/>
      <c r="U17" s="2" t="s">
        <v>37</v>
      </c>
      <c r="V17" s="2" t="s">
        <v>34</v>
      </c>
      <c r="W17" s="2" t="s">
        <v>33</v>
      </c>
      <c r="X17" s="2" t="s">
        <v>35</v>
      </c>
      <c r="Y17" s="2" t="s">
        <v>36</v>
      </c>
      <c r="Z17" s="2" t="s">
        <v>51</v>
      </c>
    </row>
    <row r="18" spans="2:26" x14ac:dyDescent="0.2">
      <c r="C18" s="7"/>
      <c r="E18" s="7"/>
      <c r="F18" s="7"/>
      <c r="G18" s="7"/>
      <c r="H18" s="7"/>
      <c r="I18" s="7"/>
      <c r="J18" s="7"/>
      <c r="M18" s="9"/>
      <c r="N18" s="9"/>
      <c r="O18" s="9"/>
      <c r="P18" s="9"/>
      <c r="Q18" s="9"/>
      <c r="U18" s="40">
        <v>1</v>
      </c>
      <c r="V18" s="40">
        <v>6</v>
      </c>
      <c r="W18" s="40">
        <v>2</v>
      </c>
      <c r="X18" s="40"/>
      <c r="Y18" s="40"/>
      <c r="Z18" s="40" t="s">
        <v>63</v>
      </c>
    </row>
    <row r="19" spans="2:26" x14ac:dyDescent="0.2">
      <c r="C19" s="7"/>
      <c r="E19" s="7"/>
      <c r="F19" s="7"/>
      <c r="G19" s="7"/>
      <c r="H19" s="7"/>
      <c r="I19" s="7"/>
      <c r="J19" s="7"/>
      <c r="M19" s="9"/>
      <c r="N19" s="9"/>
      <c r="O19" s="9"/>
      <c r="P19" s="9"/>
      <c r="Q19" s="9"/>
      <c r="U19" s="40">
        <v>2</v>
      </c>
      <c r="V19" s="40">
        <v>7</v>
      </c>
      <c r="W19" s="40">
        <v>3</v>
      </c>
      <c r="X19" s="40"/>
      <c r="Y19" s="40"/>
      <c r="Z19" s="40" t="s">
        <v>62</v>
      </c>
    </row>
    <row r="20" spans="2:26" x14ac:dyDescent="0.2">
      <c r="C20" s="7"/>
      <c r="E20" s="7"/>
      <c r="F20" s="7"/>
      <c r="G20" s="7"/>
      <c r="H20" s="7"/>
      <c r="I20" s="7"/>
      <c r="J20" s="7"/>
      <c r="M20" s="9"/>
      <c r="N20" s="9"/>
      <c r="O20" s="9"/>
      <c r="P20" s="9"/>
      <c r="Q20" s="9"/>
      <c r="U20" s="40">
        <v>3</v>
      </c>
      <c r="V20" s="40">
        <v>8</v>
      </c>
      <c r="W20" s="40">
        <v>4</v>
      </c>
      <c r="X20" s="40"/>
      <c r="Y20" s="40"/>
      <c r="Z20" s="40" t="s">
        <v>62</v>
      </c>
    </row>
    <row r="21" spans="2:26" x14ac:dyDescent="0.2">
      <c r="C21" s="7"/>
      <c r="E21" s="7"/>
      <c r="F21" s="7"/>
      <c r="G21" s="7"/>
      <c r="H21" s="7"/>
      <c r="I21" s="7"/>
      <c r="J21" s="7"/>
      <c r="M21" s="9"/>
      <c r="N21" s="9"/>
      <c r="O21" s="9"/>
      <c r="P21" s="9"/>
      <c r="Q21" s="9"/>
      <c r="U21" s="40">
        <v>4</v>
      </c>
      <c r="V21" s="40">
        <v>7</v>
      </c>
      <c r="W21" s="40">
        <v>6</v>
      </c>
      <c r="X21" s="40"/>
      <c r="Y21" s="40"/>
      <c r="Z21" s="40" t="s">
        <v>61</v>
      </c>
    </row>
    <row r="22" spans="2:26" x14ac:dyDescent="0.2">
      <c r="C22" s="7"/>
      <c r="D22" s="7"/>
      <c r="E22" s="7"/>
      <c r="F22" s="7"/>
      <c r="G22" s="7"/>
      <c r="H22" s="7"/>
      <c r="I22" s="7"/>
      <c r="J22" s="7"/>
      <c r="M22" s="9"/>
      <c r="N22" s="9"/>
      <c r="O22" s="9"/>
      <c r="P22" s="9"/>
      <c r="Q22" s="9"/>
      <c r="U22" s="40">
        <v>5</v>
      </c>
      <c r="V22" s="40">
        <v>5</v>
      </c>
      <c r="W22" s="40">
        <v>6</v>
      </c>
      <c r="X22" s="40"/>
      <c r="Y22" s="40"/>
      <c r="Z22" s="40" t="s">
        <v>62</v>
      </c>
    </row>
    <row r="23" spans="2:26" x14ac:dyDescent="0.2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U23" s="40">
        <v>6</v>
      </c>
      <c r="V23" s="40">
        <v>5</v>
      </c>
      <c r="W23" s="40">
        <v>7</v>
      </c>
      <c r="X23" s="40"/>
      <c r="Y23" s="40"/>
      <c r="Z23" s="40" t="s">
        <v>62</v>
      </c>
    </row>
    <row r="24" spans="2:26" x14ac:dyDescent="0.2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U24" s="40">
        <v>7</v>
      </c>
      <c r="V24" s="40">
        <v>4</v>
      </c>
      <c r="W24" s="40">
        <v>6</v>
      </c>
      <c r="X24" s="40"/>
      <c r="Y24" s="40"/>
      <c r="Z24" s="40" t="s">
        <v>62</v>
      </c>
    </row>
    <row r="25" spans="2:26" x14ac:dyDescent="0.2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U25" s="40">
        <v>8</v>
      </c>
      <c r="V25" s="40">
        <v>5</v>
      </c>
      <c r="W25" s="40">
        <v>5</v>
      </c>
      <c r="X25" s="40"/>
      <c r="Y25" s="40"/>
      <c r="Z25" s="40" t="s">
        <v>62</v>
      </c>
    </row>
    <row r="26" spans="2:26" x14ac:dyDescent="0.2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U26" s="40">
        <v>9</v>
      </c>
      <c r="V26" s="40">
        <v>8</v>
      </c>
      <c r="W26" s="40">
        <v>8</v>
      </c>
      <c r="X26" s="40"/>
      <c r="Y26" s="40"/>
      <c r="Z26" s="40" t="s">
        <v>61</v>
      </c>
    </row>
    <row r="27" spans="2:26" x14ac:dyDescent="0.2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U27" s="40">
        <v>10</v>
      </c>
      <c r="V27" s="40">
        <v>8</v>
      </c>
      <c r="W27" s="40">
        <v>9</v>
      </c>
      <c r="X27" s="40"/>
      <c r="Y27" s="40"/>
      <c r="Z27" s="40" t="s">
        <v>61</v>
      </c>
    </row>
    <row r="28" spans="2:26" x14ac:dyDescent="0.2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U28" s="40">
        <v>11</v>
      </c>
      <c r="V28" s="40">
        <v>8</v>
      </c>
      <c r="W28" s="40">
        <v>10</v>
      </c>
      <c r="X28" s="40"/>
      <c r="Y28" s="40"/>
      <c r="Z28" s="40" t="s">
        <v>61</v>
      </c>
    </row>
    <row r="29" spans="2:26" x14ac:dyDescent="0.2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U29" s="40">
        <v>12</v>
      </c>
      <c r="V29" s="40">
        <v>9</v>
      </c>
      <c r="W29" s="40">
        <v>10</v>
      </c>
      <c r="X29" s="40"/>
      <c r="Y29" s="40"/>
      <c r="Z29" s="40" t="s">
        <v>61</v>
      </c>
    </row>
    <row r="30" spans="2:26" x14ac:dyDescent="0.2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U30" s="40">
        <v>13</v>
      </c>
      <c r="V30" s="40">
        <v>9</v>
      </c>
      <c r="W30" s="40">
        <v>11</v>
      </c>
      <c r="X30" s="40"/>
      <c r="Y30" s="40"/>
      <c r="Z30" s="40" t="s">
        <v>61</v>
      </c>
    </row>
    <row r="31" spans="2:26" x14ac:dyDescent="0.2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U31" s="40">
        <v>14</v>
      </c>
      <c r="V31" s="40">
        <v>10</v>
      </c>
      <c r="W31" s="40">
        <v>10</v>
      </c>
      <c r="X31" s="40"/>
      <c r="Y31" s="40"/>
      <c r="Z31" s="40" t="s">
        <v>61</v>
      </c>
    </row>
    <row r="32" spans="2:26" x14ac:dyDescent="0.2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U32" s="40">
        <v>15</v>
      </c>
      <c r="V32" s="40">
        <v>11</v>
      </c>
      <c r="W32" s="40">
        <v>10</v>
      </c>
      <c r="X32" s="40"/>
      <c r="Y32" s="40"/>
      <c r="Z32" s="40" t="s">
        <v>61</v>
      </c>
    </row>
    <row r="33" spans="21:26" x14ac:dyDescent="0.2">
      <c r="U33" s="40">
        <v>16</v>
      </c>
      <c r="V33" s="40">
        <v>11</v>
      </c>
      <c r="W33" s="40">
        <v>9</v>
      </c>
      <c r="X33" s="40"/>
      <c r="Y33" s="40"/>
      <c r="Z33" s="40" t="s">
        <v>61</v>
      </c>
    </row>
    <row r="34" spans="21:26" x14ac:dyDescent="0.2">
      <c r="U34" s="40">
        <v>17</v>
      </c>
      <c r="V34" s="40">
        <v>11</v>
      </c>
      <c r="W34" s="40">
        <v>8</v>
      </c>
      <c r="X34" s="40"/>
      <c r="Y34" s="40"/>
      <c r="Z34" s="40" t="s">
        <v>61</v>
      </c>
    </row>
    <row r="35" spans="21:26" x14ac:dyDescent="0.2">
      <c r="U35" s="40">
        <v>18</v>
      </c>
      <c r="V35" s="40">
        <v>10</v>
      </c>
      <c r="W35" s="40">
        <v>7</v>
      </c>
      <c r="X35" s="40"/>
      <c r="Y35" s="40"/>
      <c r="Z35" s="40" t="s">
        <v>61</v>
      </c>
    </row>
    <row r="36" spans="21:26" x14ac:dyDescent="0.2">
      <c r="U36" s="40">
        <v>19</v>
      </c>
      <c r="V36" s="40">
        <v>9</v>
      </c>
      <c r="W36" s="40">
        <v>7</v>
      </c>
      <c r="X36" s="40"/>
      <c r="Y36" s="40"/>
      <c r="Z36" s="40" t="s">
        <v>61</v>
      </c>
    </row>
    <row r="37" spans="21:26" x14ac:dyDescent="0.2">
      <c r="U37" s="40">
        <v>20</v>
      </c>
      <c r="V37" s="40">
        <v>11</v>
      </c>
      <c r="W37" s="40">
        <v>6</v>
      </c>
      <c r="X37" s="40"/>
      <c r="Y37" s="40"/>
      <c r="Z37" s="40" t="s">
        <v>61</v>
      </c>
    </row>
    <row r="38" spans="21:26" x14ac:dyDescent="0.2">
      <c r="U38" s="40">
        <v>21</v>
      </c>
      <c r="V38" s="40">
        <v>11</v>
      </c>
      <c r="W38" s="40">
        <v>5</v>
      </c>
      <c r="X38" s="40"/>
      <c r="Y38" s="40"/>
      <c r="Z38" s="40" t="s">
        <v>62</v>
      </c>
    </row>
    <row r="39" spans="21:26" x14ac:dyDescent="0.2">
      <c r="U39" s="40">
        <v>22</v>
      </c>
      <c r="V39" s="40">
        <v>12</v>
      </c>
      <c r="W39" s="40">
        <v>5</v>
      </c>
      <c r="X39" s="40"/>
      <c r="Y39" s="40"/>
      <c r="Z39" s="40" t="s">
        <v>62</v>
      </c>
    </row>
    <row r="40" spans="21:26" x14ac:dyDescent="0.2">
      <c r="U40" s="40">
        <v>23</v>
      </c>
      <c r="V40" s="40">
        <v>12</v>
      </c>
      <c r="W40" s="40">
        <v>4</v>
      </c>
      <c r="X40" s="40"/>
      <c r="Y40" s="40"/>
      <c r="Z40" s="40" t="s">
        <v>62</v>
      </c>
    </row>
    <row r="41" spans="21:26" x14ac:dyDescent="0.2">
      <c r="U41" s="40">
        <v>24</v>
      </c>
      <c r="V41" s="40">
        <v>12</v>
      </c>
      <c r="W41" s="40">
        <v>3</v>
      </c>
      <c r="X41" s="40"/>
      <c r="Y41" s="40"/>
      <c r="Z41" s="40" t="s">
        <v>62</v>
      </c>
    </row>
    <row r="42" spans="21:26" x14ac:dyDescent="0.2">
      <c r="U42" s="40">
        <v>25</v>
      </c>
      <c r="V42" s="40">
        <v>11</v>
      </c>
      <c r="W42" s="40">
        <v>3</v>
      </c>
      <c r="X42" s="40"/>
      <c r="Y42" s="40"/>
      <c r="Z42" s="40" t="s">
        <v>62</v>
      </c>
    </row>
    <row r="43" spans="21:26" x14ac:dyDescent="0.2">
      <c r="U43" s="40">
        <v>26</v>
      </c>
      <c r="V43" s="40">
        <v>10</v>
      </c>
      <c r="W43" s="40">
        <v>3</v>
      </c>
      <c r="X43" s="40"/>
      <c r="Y43" s="40"/>
      <c r="Z43" s="40" t="s">
        <v>62</v>
      </c>
    </row>
    <row r="44" spans="21:26" x14ac:dyDescent="0.2">
      <c r="U44" s="40">
        <v>27</v>
      </c>
      <c r="V44" s="40">
        <v>13</v>
      </c>
      <c r="W44" s="40">
        <v>3</v>
      </c>
      <c r="X44" s="40"/>
      <c r="Y44" s="40"/>
      <c r="Z44" s="40" t="s">
        <v>62</v>
      </c>
    </row>
    <row r="45" spans="21:26" x14ac:dyDescent="0.2">
      <c r="U45" s="40">
        <v>28</v>
      </c>
      <c r="V45" s="40">
        <v>14</v>
      </c>
      <c r="W45" s="40">
        <v>5</v>
      </c>
      <c r="X45" s="40"/>
      <c r="Y45" s="40"/>
      <c r="Z45" s="40" t="s">
        <v>62</v>
      </c>
    </row>
    <row r="46" spans="21:26" x14ac:dyDescent="0.2">
      <c r="U46" s="40">
        <v>29</v>
      </c>
      <c r="V46" s="40">
        <v>15</v>
      </c>
      <c r="W46" s="40">
        <v>7</v>
      </c>
      <c r="X46" s="40"/>
      <c r="Y46" s="40"/>
      <c r="Z46" s="40" t="s">
        <v>63</v>
      </c>
    </row>
    <row r="47" spans="21:26" x14ac:dyDescent="0.2">
      <c r="U47" s="40">
        <v>30</v>
      </c>
      <c r="V47" s="40">
        <v>14</v>
      </c>
      <c r="W47" s="40">
        <v>8</v>
      </c>
      <c r="X47" s="40"/>
      <c r="Y47" s="40"/>
      <c r="Z47" s="40" t="s">
        <v>62</v>
      </c>
    </row>
    <row r="48" spans="21:26" x14ac:dyDescent="0.2">
      <c r="U48" s="40">
        <v>31</v>
      </c>
      <c r="V48" s="40">
        <v>13</v>
      </c>
      <c r="W48" s="40">
        <v>8</v>
      </c>
      <c r="X48" s="40"/>
      <c r="Y48" s="40"/>
      <c r="Z48" s="40" t="s">
        <v>62</v>
      </c>
    </row>
    <row r="49" spans="21:26" x14ac:dyDescent="0.2">
      <c r="U49" s="40">
        <v>32</v>
      </c>
      <c r="V49" s="40">
        <v>12</v>
      </c>
      <c r="W49" s="40">
        <v>7</v>
      </c>
      <c r="X49" s="40"/>
      <c r="Y49" s="40"/>
      <c r="Z49" s="40" t="s">
        <v>62</v>
      </c>
    </row>
    <row r="50" spans="21:26" x14ac:dyDescent="0.2">
      <c r="U50" s="40">
        <v>33</v>
      </c>
      <c r="V50" s="40">
        <v>12</v>
      </c>
      <c r="W50" s="40">
        <v>9</v>
      </c>
      <c r="X50" s="40"/>
      <c r="Y50" s="40"/>
      <c r="Z50" s="40" t="s">
        <v>62</v>
      </c>
    </row>
    <row r="51" spans="21:26" x14ac:dyDescent="0.2">
      <c r="U51" s="40">
        <v>34</v>
      </c>
      <c r="V51" s="40">
        <v>13</v>
      </c>
      <c r="W51" s="40">
        <v>10</v>
      </c>
      <c r="X51" s="40"/>
      <c r="Y51" s="40"/>
      <c r="Z51" s="40" t="s">
        <v>62</v>
      </c>
    </row>
    <row r="52" spans="21:26" x14ac:dyDescent="0.2">
      <c r="U52" s="40">
        <v>35</v>
      </c>
      <c r="V52" s="40">
        <v>14</v>
      </c>
      <c r="W52" s="40">
        <v>11</v>
      </c>
      <c r="X52" s="40"/>
      <c r="Y52" s="40"/>
      <c r="Z52" s="40" t="s">
        <v>62</v>
      </c>
    </row>
    <row r="53" spans="21:26" x14ac:dyDescent="0.2">
      <c r="U53" s="40">
        <v>36</v>
      </c>
      <c r="V53" s="40">
        <v>14</v>
      </c>
      <c r="W53" s="40">
        <v>12</v>
      </c>
      <c r="X53" s="40"/>
      <c r="Y53" s="40"/>
      <c r="Z53" s="40" t="s">
        <v>62</v>
      </c>
    </row>
    <row r="54" spans="21:26" x14ac:dyDescent="0.2">
      <c r="U54" s="40">
        <v>37</v>
      </c>
      <c r="V54" s="40">
        <v>14</v>
      </c>
      <c r="W54" s="40">
        <v>13</v>
      </c>
      <c r="X54" s="40"/>
      <c r="Y54" s="40"/>
      <c r="Z54" s="40" t="s">
        <v>62</v>
      </c>
    </row>
    <row r="55" spans="21:26" x14ac:dyDescent="0.2">
      <c r="U55" s="40">
        <v>38</v>
      </c>
      <c r="V55" s="40">
        <v>15</v>
      </c>
      <c r="W55" s="40">
        <v>10</v>
      </c>
      <c r="X55" s="40"/>
      <c r="Y55" s="40"/>
      <c r="Z55" s="40" t="s">
        <v>63</v>
      </c>
    </row>
    <row r="56" spans="21:26" x14ac:dyDescent="0.2">
      <c r="U56" s="40">
        <v>39</v>
      </c>
      <c r="V56" s="40">
        <v>10</v>
      </c>
      <c r="W56" s="40">
        <v>14</v>
      </c>
      <c r="X56" s="40"/>
      <c r="Y56" s="40"/>
      <c r="Z56" s="40" t="s">
        <v>62</v>
      </c>
    </row>
    <row r="57" spans="21:26" x14ac:dyDescent="0.2">
      <c r="U57" s="40">
        <v>40</v>
      </c>
      <c r="V57" s="40">
        <v>8</v>
      </c>
      <c r="W57" s="40">
        <v>13</v>
      </c>
      <c r="X57" s="40"/>
      <c r="Y57" s="40"/>
      <c r="Z57" s="40" t="s">
        <v>62</v>
      </c>
    </row>
    <row r="58" spans="21:26" x14ac:dyDescent="0.2">
      <c r="U58" s="40">
        <v>41</v>
      </c>
      <c r="V58" s="40">
        <v>7</v>
      </c>
      <c r="W58" s="40">
        <v>12</v>
      </c>
      <c r="X58" s="40"/>
      <c r="Y58" s="40"/>
      <c r="Z58" s="40" t="s">
        <v>62</v>
      </c>
    </row>
    <row r="59" spans="21:26" x14ac:dyDescent="0.2">
      <c r="U59" s="40">
        <v>42</v>
      </c>
      <c r="V59" s="40">
        <v>6</v>
      </c>
      <c r="W59" s="40">
        <v>11</v>
      </c>
      <c r="X59" s="40"/>
      <c r="Y59" s="40"/>
      <c r="Z59" s="40" t="s">
        <v>61</v>
      </c>
    </row>
    <row r="60" spans="21:26" x14ac:dyDescent="0.2">
      <c r="U60" s="40">
        <v>43</v>
      </c>
      <c r="V60" s="40">
        <v>6</v>
      </c>
      <c r="W60" s="40">
        <v>10</v>
      </c>
      <c r="X60" s="40"/>
      <c r="Y60" s="40"/>
      <c r="Z60" s="40" t="s">
        <v>61</v>
      </c>
    </row>
    <row r="61" spans="21:26" x14ac:dyDescent="0.2">
      <c r="U61" s="40">
        <v>44</v>
      </c>
      <c r="V61" s="40">
        <v>4</v>
      </c>
      <c r="W61" s="40">
        <v>10</v>
      </c>
      <c r="X61" s="40"/>
      <c r="Y61" s="40"/>
      <c r="Z61" s="40" t="s">
        <v>62</v>
      </c>
    </row>
    <row r="62" spans="21:26" x14ac:dyDescent="0.2">
      <c r="U62" s="40">
        <v>45</v>
      </c>
      <c r="V62" s="40">
        <v>3</v>
      </c>
      <c r="W62" s="40">
        <v>10</v>
      </c>
      <c r="X62" s="40"/>
      <c r="Y62" s="40"/>
      <c r="Z62" s="40" t="s">
        <v>62</v>
      </c>
    </row>
    <row r="63" spans="21:26" x14ac:dyDescent="0.2">
      <c r="U63" s="40">
        <v>46</v>
      </c>
      <c r="V63" s="40">
        <v>3</v>
      </c>
      <c r="W63" s="40">
        <v>11</v>
      </c>
      <c r="X63" s="40"/>
      <c r="Y63" s="40"/>
      <c r="Z63" s="40" t="s">
        <v>62</v>
      </c>
    </row>
    <row r="64" spans="21:26" x14ac:dyDescent="0.2">
      <c r="U64" s="40">
        <v>47</v>
      </c>
      <c r="V64" s="40">
        <v>2</v>
      </c>
      <c r="W64" s="40">
        <v>11</v>
      </c>
      <c r="X64" s="40"/>
      <c r="Y64" s="40"/>
      <c r="Z64" s="40" t="s">
        <v>63</v>
      </c>
    </row>
    <row r="65" spans="21:26" x14ac:dyDescent="0.2">
      <c r="U65" s="40">
        <v>48</v>
      </c>
      <c r="V65" s="40">
        <v>4</v>
      </c>
      <c r="W65" s="40">
        <v>14</v>
      </c>
      <c r="X65" s="40"/>
      <c r="Y65" s="40"/>
      <c r="Z65" s="40" t="s">
        <v>62</v>
      </c>
    </row>
    <row r="66" spans="21:26" x14ac:dyDescent="0.2">
      <c r="U66" s="40">
        <v>49</v>
      </c>
      <c r="V66" s="40">
        <v>6</v>
      </c>
      <c r="W66" s="40">
        <v>13</v>
      </c>
      <c r="X66" s="40"/>
      <c r="Y66" s="40"/>
      <c r="Z66" s="40" t="s">
        <v>62</v>
      </c>
    </row>
    <row r="67" spans="21:26" x14ac:dyDescent="0.2">
      <c r="U67" s="40">
        <v>50</v>
      </c>
      <c r="V67" s="40">
        <v>7</v>
      </c>
      <c r="W67" s="40">
        <v>15</v>
      </c>
      <c r="X67" s="40"/>
      <c r="Y67" s="40"/>
      <c r="Z67" s="40" t="s">
        <v>63</v>
      </c>
    </row>
    <row r="68" spans="21:26" x14ac:dyDescent="0.2">
      <c r="Z68" s="9"/>
    </row>
    <row r="69" spans="21:26" x14ac:dyDescent="0.2">
      <c r="Z69" s="9"/>
    </row>
    <row r="70" spans="21:26" x14ac:dyDescent="0.2">
      <c r="Z70" s="9"/>
    </row>
    <row r="71" spans="21:26" x14ac:dyDescent="0.2">
      <c r="Z71" s="9"/>
    </row>
    <row r="72" spans="21:26" x14ac:dyDescent="0.2">
      <c r="Z72" s="9"/>
    </row>
    <row r="73" spans="21:26" x14ac:dyDescent="0.2">
      <c r="Z73" s="9"/>
    </row>
    <row r="74" spans="21:26" x14ac:dyDescent="0.2">
      <c r="Z74" s="9"/>
    </row>
    <row r="75" spans="21:26" x14ac:dyDescent="0.2">
      <c r="Z75" s="9"/>
    </row>
    <row r="76" spans="21:26" x14ac:dyDescent="0.2">
      <c r="Z76" s="9"/>
    </row>
    <row r="77" spans="21:26" x14ac:dyDescent="0.2">
      <c r="Z77" s="9"/>
    </row>
    <row r="78" spans="21:26" x14ac:dyDescent="0.2">
      <c r="Z78" s="9"/>
    </row>
    <row r="79" spans="21:26" x14ac:dyDescent="0.2">
      <c r="Z79" s="9"/>
    </row>
    <row r="80" spans="21:26" x14ac:dyDescent="0.2">
      <c r="Z80" s="9"/>
    </row>
    <row r="81" spans="26:26" x14ac:dyDescent="0.2">
      <c r="Z81" s="9"/>
    </row>
    <row r="82" spans="26:26" x14ac:dyDescent="0.2">
      <c r="Z82" s="9"/>
    </row>
    <row r="83" spans="26:26" x14ac:dyDescent="0.2">
      <c r="Z83" s="9"/>
    </row>
    <row r="84" spans="26:26" x14ac:dyDescent="0.2">
      <c r="Z84" s="9"/>
    </row>
    <row r="85" spans="26:26" x14ac:dyDescent="0.2">
      <c r="Z85" s="9"/>
    </row>
    <row r="86" spans="26:26" x14ac:dyDescent="0.2">
      <c r="Z86" s="9"/>
    </row>
    <row r="87" spans="26:26" x14ac:dyDescent="0.2">
      <c r="Z87" s="9"/>
    </row>
    <row r="88" spans="26:26" x14ac:dyDescent="0.2">
      <c r="Z88" s="9"/>
    </row>
    <row r="89" spans="26:26" x14ac:dyDescent="0.2">
      <c r="Z89" s="9"/>
    </row>
    <row r="90" spans="26:26" x14ac:dyDescent="0.2">
      <c r="Z90" s="9"/>
    </row>
    <row r="91" spans="26:26" x14ac:dyDescent="0.2">
      <c r="Z91" s="9"/>
    </row>
    <row r="92" spans="26:26" x14ac:dyDescent="0.2">
      <c r="Z92" s="9"/>
    </row>
    <row r="93" spans="26:26" x14ac:dyDescent="0.2">
      <c r="Z93" s="9"/>
    </row>
    <row r="94" spans="26:26" x14ac:dyDescent="0.2">
      <c r="Z94" s="9"/>
    </row>
    <row r="95" spans="26:26" x14ac:dyDescent="0.2">
      <c r="Z95" s="9"/>
    </row>
    <row r="96" spans="26:26" x14ac:dyDescent="0.2">
      <c r="Z96" s="9"/>
    </row>
    <row r="97" spans="26:26" x14ac:dyDescent="0.2">
      <c r="Z97" s="9"/>
    </row>
    <row r="98" spans="26:26" x14ac:dyDescent="0.2">
      <c r="Z98" s="9"/>
    </row>
    <row r="99" spans="26:26" x14ac:dyDescent="0.2">
      <c r="Z99" s="9"/>
    </row>
    <row r="100" spans="26:26" x14ac:dyDescent="0.2">
      <c r="Z100" s="9"/>
    </row>
    <row r="101" spans="26:26" x14ac:dyDescent="0.2">
      <c r="Z101" s="9"/>
    </row>
    <row r="102" spans="26:26" x14ac:dyDescent="0.2">
      <c r="Z102" s="9"/>
    </row>
    <row r="103" spans="26:26" x14ac:dyDescent="0.2">
      <c r="Z103" s="9"/>
    </row>
    <row r="104" spans="26:26" x14ac:dyDescent="0.2">
      <c r="Z104" s="9"/>
    </row>
    <row r="105" spans="26:26" x14ac:dyDescent="0.2">
      <c r="Z105" s="9"/>
    </row>
    <row r="106" spans="26:26" x14ac:dyDescent="0.2">
      <c r="Z106" s="9"/>
    </row>
    <row r="107" spans="26:26" x14ac:dyDescent="0.2">
      <c r="Z107" s="9"/>
    </row>
    <row r="108" spans="26:26" x14ac:dyDescent="0.2">
      <c r="Z108" s="9"/>
    </row>
    <row r="109" spans="26:26" x14ac:dyDescent="0.2">
      <c r="Z109" s="9"/>
    </row>
    <row r="110" spans="26:26" x14ac:dyDescent="0.2">
      <c r="Z110" s="9"/>
    </row>
    <row r="111" spans="26:26" x14ac:dyDescent="0.2">
      <c r="Z111" s="9"/>
    </row>
    <row r="112" spans="26:26" x14ac:dyDescent="0.2">
      <c r="Z112" s="9"/>
    </row>
    <row r="113" spans="26:26" x14ac:dyDescent="0.2">
      <c r="Z113" s="9"/>
    </row>
    <row r="114" spans="26:26" x14ac:dyDescent="0.2">
      <c r="Z114" s="9"/>
    </row>
    <row r="115" spans="26:26" x14ac:dyDescent="0.2">
      <c r="Z115" s="9"/>
    </row>
    <row r="116" spans="26:26" x14ac:dyDescent="0.2">
      <c r="Z116" s="9"/>
    </row>
    <row r="117" spans="26:26" x14ac:dyDescent="0.2">
      <c r="Z117" s="9"/>
    </row>
    <row r="118" spans="26:26" x14ac:dyDescent="0.2">
      <c r="Z118" s="9"/>
    </row>
    <row r="119" spans="26:26" x14ac:dyDescent="0.2">
      <c r="Z119" s="9"/>
    </row>
    <row r="120" spans="26:26" x14ac:dyDescent="0.2">
      <c r="Z120" s="9"/>
    </row>
    <row r="121" spans="26:26" x14ac:dyDescent="0.2">
      <c r="Z121" s="9"/>
    </row>
    <row r="122" spans="26:26" x14ac:dyDescent="0.2">
      <c r="Z122" s="9"/>
    </row>
    <row r="123" spans="26:26" x14ac:dyDescent="0.2">
      <c r="Z123" s="9"/>
    </row>
    <row r="124" spans="26:26" x14ac:dyDescent="0.2">
      <c r="Z124" s="9"/>
    </row>
    <row r="125" spans="26:26" x14ac:dyDescent="0.2">
      <c r="Z125" s="9"/>
    </row>
    <row r="126" spans="26:26" x14ac:dyDescent="0.2">
      <c r="Z126" s="9"/>
    </row>
    <row r="127" spans="26:26" x14ac:dyDescent="0.2">
      <c r="Z127" s="9"/>
    </row>
    <row r="128" spans="26:26" x14ac:dyDescent="0.2">
      <c r="Z128" s="9"/>
    </row>
    <row r="129" spans="26:26" x14ac:dyDescent="0.2">
      <c r="Z129" s="9"/>
    </row>
    <row r="130" spans="26:26" x14ac:dyDescent="0.2">
      <c r="Z130" s="9"/>
    </row>
    <row r="131" spans="26:26" x14ac:dyDescent="0.2">
      <c r="Z131" s="9"/>
    </row>
    <row r="132" spans="26:26" x14ac:dyDescent="0.2">
      <c r="Z132" s="9"/>
    </row>
    <row r="133" spans="26:26" x14ac:dyDescent="0.2">
      <c r="Z133" s="9"/>
    </row>
    <row r="134" spans="26:26" x14ac:dyDescent="0.2">
      <c r="Z134" s="9"/>
    </row>
    <row r="135" spans="26:26" x14ac:dyDescent="0.2">
      <c r="Z135" s="9"/>
    </row>
    <row r="136" spans="26:26" x14ac:dyDescent="0.2">
      <c r="Z136" s="9"/>
    </row>
    <row r="137" spans="26:26" x14ac:dyDescent="0.2">
      <c r="Z137" s="9"/>
    </row>
    <row r="138" spans="26:26" x14ac:dyDescent="0.2">
      <c r="Z138" s="9"/>
    </row>
    <row r="139" spans="26:26" x14ac:dyDescent="0.2">
      <c r="Z139" s="9"/>
    </row>
    <row r="140" spans="26:26" x14ac:dyDescent="0.2">
      <c r="Z140" s="9"/>
    </row>
    <row r="141" spans="26:26" x14ac:dyDescent="0.2">
      <c r="Z141" s="9"/>
    </row>
    <row r="142" spans="26:26" x14ac:dyDescent="0.2">
      <c r="Z142" s="9"/>
    </row>
    <row r="143" spans="26:26" x14ac:dyDescent="0.2">
      <c r="Z143" s="9"/>
    </row>
    <row r="144" spans="26:26" x14ac:dyDescent="0.2">
      <c r="Z144" s="9"/>
    </row>
    <row r="145" spans="26:26" x14ac:dyDescent="0.2">
      <c r="Z145" s="9"/>
    </row>
    <row r="146" spans="26:26" x14ac:dyDescent="0.2">
      <c r="Z146" s="9"/>
    </row>
    <row r="147" spans="26:26" x14ac:dyDescent="0.2">
      <c r="Z147" s="9"/>
    </row>
    <row r="148" spans="26:26" x14ac:dyDescent="0.2">
      <c r="Z148" s="9"/>
    </row>
    <row r="149" spans="26:26" x14ac:dyDescent="0.2">
      <c r="Z149" s="9"/>
    </row>
    <row r="150" spans="26:26" x14ac:dyDescent="0.2">
      <c r="Z150" s="9"/>
    </row>
    <row r="151" spans="26:26" x14ac:dyDescent="0.2">
      <c r="Z151" s="9"/>
    </row>
    <row r="152" spans="26:26" x14ac:dyDescent="0.2">
      <c r="Z152" s="9"/>
    </row>
    <row r="153" spans="26:26" x14ac:dyDescent="0.2">
      <c r="Z153" s="9"/>
    </row>
    <row r="154" spans="26:26" x14ac:dyDescent="0.2">
      <c r="Z154" s="9"/>
    </row>
    <row r="155" spans="26:26" x14ac:dyDescent="0.2">
      <c r="Z155" s="9"/>
    </row>
    <row r="156" spans="26:26" x14ac:dyDescent="0.2">
      <c r="Z156" s="9"/>
    </row>
    <row r="157" spans="26:26" x14ac:dyDescent="0.2">
      <c r="Z157" s="9"/>
    </row>
    <row r="158" spans="26:26" x14ac:dyDescent="0.2">
      <c r="Z158" s="9"/>
    </row>
    <row r="159" spans="26:26" x14ac:dyDescent="0.2">
      <c r="Z159" s="9"/>
    </row>
    <row r="160" spans="26:26" x14ac:dyDescent="0.2">
      <c r="Z160" s="9"/>
    </row>
    <row r="161" spans="26:26" x14ac:dyDescent="0.2">
      <c r="Z161" s="9"/>
    </row>
    <row r="162" spans="26:26" x14ac:dyDescent="0.2">
      <c r="Z162" s="9"/>
    </row>
    <row r="163" spans="26:26" x14ac:dyDescent="0.2">
      <c r="Z163" s="9"/>
    </row>
    <row r="164" spans="26:26" x14ac:dyDescent="0.2">
      <c r="Z164" s="9"/>
    </row>
    <row r="165" spans="26:26" x14ac:dyDescent="0.2">
      <c r="Z165" s="9"/>
    </row>
    <row r="166" spans="26:26" x14ac:dyDescent="0.2">
      <c r="Z166" s="9"/>
    </row>
    <row r="167" spans="26:26" x14ac:dyDescent="0.2">
      <c r="Z167" s="9"/>
    </row>
    <row r="168" spans="26:26" x14ac:dyDescent="0.2">
      <c r="Z168" s="9"/>
    </row>
    <row r="169" spans="26:26" x14ac:dyDescent="0.2">
      <c r="Z169" s="9"/>
    </row>
    <row r="170" spans="26:26" x14ac:dyDescent="0.2">
      <c r="Z170" s="9"/>
    </row>
    <row r="171" spans="26:26" x14ac:dyDescent="0.2">
      <c r="Z171" s="9"/>
    </row>
    <row r="172" spans="26:26" x14ac:dyDescent="0.2">
      <c r="Z172" s="9"/>
    </row>
    <row r="173" spans="26:26" x14ac:dyDescent="0.2">
      <c r="Z173" s="9"/>
    </row>
    <row r="174" spans="26:26" x14ac:dyDescent="0.2">
      <c r="Z174" s="9"/>
    </row>
    <row r="175" spans="26:26" x14ac:dyDescent="0.2">
      <c r="Z175" s="9"/>
    </row>
    <row r="176" spans="26:26" x14ac:dyDescent="0.2">
      <c r="Z176" s="9"/>
    </row>
    <row r="177" spans="26:26" x14ac:dyDescent="0.2">
      <c r="Z177" s="9"/>
    </row>
    <row r="178" spans="26:26" x14ac:dyDescent="0.2">
      <c r="Z178" s="9"/>
    </row>
    <row r="179" spans="26:26" x14ac:dyDescent="0.2">
      <c r="Z179" s="9"/>
    </row>
    <row r="180" spans="26:26" x14ac:dyDescent="0.2">
      <c r="Z180" s="9"/>
    </row>
    <row r="181" spans="26:26" x14ac:dyDescent="0.2">
      <c r="Z181" s="9"/>
    </row>
  </sheetData>
  <mergeCells count="7">
    <mergeCell ref="AD3:AE3"/>
    <mergeCell ref="X2:Y2"/>
    <mergeCell ref="X3:Y3"/>
    <mergeCell ref="AD2:AE2"/>
    <mergeCell ref="X6:Y6"/>
    <mergeCell ref="AD4:AE4"/>
    <mergeCell ref="X4:Y4"/>
  </mergeCells>
  <phoneticPr fontId="5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63910-CB0E-4011-9E33-77EE376F40DE}">
  <sheetPr codeName="wsSettings"/>
  <dimension ref="A1:U32"/>
  <sheetViews>
    <sheetView showGridLines="0" zoomScale="85" zoomScaleNormal="85" workbookViewId="0">
      <selection activeCell="R16" sqref="R16"/>
    </sheetView>
  </sheetViews>
  <sheetFormatPr defaultColWidth="8.85546875" defaultRowHeight="14.25" x14ac:dyDescent="0.2"/>
  <cols>
    <col min="1" max="1" width="8.85546875" style="1"/>
    <col min="2" max="17" width="3.85546875" style="1" customWidth="1"/>
    <col min="18" max="18" width="8.85546875" style="1"/>
    <col min="19" max="19" width="14.42578125" style="1" customWidth="1"/>
    <col min="20" max="20" width="11.140625" style="1" bestFit="1" customWidth="1"/>
    <col min="21" max="16384" width="8.85546875" style="1"/>
  </cols>
  <sheetData>
    <row r="1" spans="1:21" ht="21" customHeight="1" x14ac:dyDescent="0.2">
      <c r="A1" s="4" t="s">
        <v>15</v>
      </c>
      <c r="B1" s="18"/>
      <c r="C1" s="18"/>
      <c r="D1" s="18"/>
      <c r="E1" s="18"/>
      <c r="F1" s="19">
        <v>210</v>
      </c>
      <c r="G1" s="19">
        <v>211</v>
      </c>
      <c r="H1" s="19">
        <v>212</v>
      </c>
      <c r="I1" s="19">
        <v>213</v>
      </c>
      <c r="J1" s="19">
        <v>214</v>
      </c>
      <c r="K1" s="19">
        <v>215</v>
      </c>
      <c r="L1" s="19">
        <v>216</v>
      </c>
      <c r="M1" s="19">
        <v>217</v>
      </c>
      <c r="N1" s="18"/>
      <c r="O1" s="18"/>
      <c r="P1" s="18"/>
      <c r="Q1" s="18"/>
      <c r="R1" s="7"/>
    </row>
    <row r="2" spans="1:21" ht="21" customHeight="1" x14ac:dyDescent="0.2">
      <c r="A2" s="4" t="s">
        <v>14</v>
      </c>
      <c r="B2" s="18"/>
      <c r="C2" s="18"/>
      <c r="D2" s="18"/>
      <c r="E2" s="19">
        <v>200</v>
      </c>
      <c r="F2" s="19">
        <v>201</v>
      </c>
      <c r="G2" s="20">
        <v>202</v>
      </c>
      <c r="H2" s="20">
        <v>203</v>
      </c>
      <c r="I2" s="20">
        <v>204</v>
      </c>
      <c r="J2" s="20">
        <v>205</v>
      </c>
      <c r="K2" s="20">
        <v>206</v>
      </c>
      <c r="L2" s="20">
        <v>207</v>
      </c>
      <c r="M2" s="19">
        <v>208</v>
      </c>
      <c r="N2" s="19">
        <v>209</v>
      </c>
      <c r="O2" s="18"/>
      <c r="P2" s="18"/>
      <c r="Q2" s="18"/>
      <c r="R2" s="7"/>
    </row>
    <row r="3" spans="1:21" ht="21" customHeight="1" x14ac:dyDescent="0.2">
      <c r="A3" s="4" t="s">
        <v>13</v>
      </c>
      <c r="B3" s="18"/>
      <c r="C3" s="21">
        <v>187</v>
      </c>
      <c r="D3" s="19">
        <v>188</v>
      </c>
      <c r="E3" s="22">
        <v>189</v>
      </c>
      <c r="F3" s="23">
        <v>190</v>
      </c>
      <c r="G3" s="22">
        <v>191</v>
      </c>
      <c r="H3" s="23">
        <v>192</v>
      </c>
      <c r="I3" s="22">
        <v>193</v>
      </c>
      <c r="J3" s="23">
        <v>194</v>
      </c>
      <c r="K3" s="22">
        <v>195</v>
      </c>
      <c r="L3" s="23">
        <v>196</v>
      </c>
      <c r="M3" s="22">
        <v>197</v>
      </c>
      <c r="N3" s="23">
        <v>198</v>
      </c>
      <c r="O3" s="21">
        <v>199</v>
      </c>
      <c r="P3" s="18"/>
      <c r="Q3" s="18"/>
      <c r="R3" s="7"/>
      <c r="S3" s="11" t="s">
        <v>51</v>
      </c>
      <c r="T3" s="11" t="s">
        <v>52</v>
      </c>
    </row>
    <row r="4" spans="1:21" ht="21" customHeight="1" x14ac:dyDescent="0.2">
      <c r="A4" s="4" t="s">
        <v>12</v>
      </c>
      <c r="B4" s="18"/>
      <c r="C4" s="19">
        <v>173</v>
      </c>
      <c r="D4" s="23">
        <v>174</v>
      </c>
      <c r="E4" s="23">
        <v>175</v>
      </c>
      <c r="F4" s="23">
        <v>176</v>
      </c>
      <c r="G4" s="23">
        <v>177</v>
      </c>
      <c r="H4" s="23">
        <v>178</v>
      </c>
      <c r="I4" s="23">
        <v>179</v>
      </c>
      <c r="J4" s="23">
        <v>180</v>
      </c>
      <c r="K4" s="23">
        <v>181</v>
      </c>
      <c r="L4" s="23">
        <v>182</v>
      </c>
      <c r="M4" s="23">
        <v>183</v>
      </c>
      <c r="N4" s="23">
        <v>184</v>
      </c>
      <c r="O4" s="23">
        <v>185</v>
      </c>
      <c r="P4" s="19">
        <v>186</v>
      </c>
      <c r="Q4" s="18"/>
      <c r="R4" s="7"/>
      <c r="S4" s="16" t="s">
        <v>47</v>
      </c>
      <c r="T4" s="27">
        <v>0</v>
      </c>
    </row>
    <row r="5" spans="1:21" ht="21" customHeight="1" x14ac:dyDescent="0.2">
      <c r="A5" s="4" t="s">
        <v>11</v>
      </c>
      <c r="B5" s="19">
        <v>158</v>
      </c>
      <c r="C5" s="20">
        <v>159</v>
      </c>
      <c r="D5" s="23">
        <v>160</v>
      </c>
      <c r="E5" s="23">
        <v>161</v>
      </c>
      <c r="F5" s="23">
        <v>162</v>
      </c>
      <c r="G5" s="23">
        <v>163</v>
      </c>
      <c r="H5" s="23">
        <v>164</v>
      </c>
      <c r="I5" s="23">
        <v>165</v>
      </c>
      <c r="J5" s="23">
        <v>166</v>
      </c>
      <c r="K5" s="23">
        <v>167</v>
      </c>
      <c r="L5" s="23">
        <v>168</v>
      </c>
      <c r="M5" s="23">
        <v>169</v>
      </c>
      <c r="N5" s="23">
        <v>170</v>
      </c>
      <c r="O5" s="23">
        <v>171</v>
      </c>
      <c r="P5" s="19">
        <v>172</v>
      </c>
      <c r="Q5" s="18"/>
      <c r="R5" s="7"/>
      <c r="S5" s="41" t="s">
        <v>48</v>
      </c>
      <c r="T5" s="27">
        <v>0.3</v>
      </c>
    </row>
    <row r="6" spans="1:21" ht="21" customHeight="1" x14ac:dyDescent="0.25">
      <c r="A6" s="4" t="s">
        <v>10</v>
      </c>
      <c r="B6" s="19">
        <v>142</v>
      </c>
      <c r="C6" s="20">
        <v>143</v>
      </c>
      <c r="D6" s="23">
        <v>144</v>
      </c>
      <c r="E6" s="23">
        <v>145</v>
      </c>
      <c r="F6" s="23">
        <v>146</v>
      </c>
      <c r="G6" s="17">
        <v>147</v>
      </c>
      <c r="H6" s="17">
        <v>148</v>
      </c>
      <c r="I6" s="17">
        <v>149</v>
      </c>
      <c r="J6" s="17">
        <v>150</v>
      </c>
      <c r="K6" s="17">
        <v>151</v>
      </c>
      <c r="L6" s="17">
        <v>152</v>
      </c>
      <c r="M6" s="42">
        <v>153</v>
      </c>
      <c r="N6" s="42">
        <v>154</v>
      </c>
      <c r="O6" s="42">
        <v>155</v>
      </c>
      <c r="P6" s="20">
        <v>156</v>
      </c>
      <c r="Q6" s="19">
        <v>157</v>
      </c>
      <c r="R6" s="7"/>
      <c r="S6" s="42" t="s">
        <v>49</v>
      </c>
      <c r="T6" s="27">
        <v>0.6</v>
      </c>
      <c r="U6"/>
    </row>
    <row r="7" spans="1:21" ht="21" customHeight="1" x14ac:dyDescent="0.2">
      <c r="A7" s="4" t="s">
        <v>9</v>
      </c>
      <c r="B7" s="19">
        <v>126</v>
      </c>
      <c r="C7" s="20">
        <v>127</v>
      </c>
      <c r="D7" s="23">
        <v>128</v>
      </c>
      <c r="E7" s="23">
        <v>129</v>
      </c>
      <c r="F7" s="23">
        <v>130</v>
      </c>
      <c r="G7" s="17">
        <v>131</v>
      </c>
      <c r="H7" s="17">
        <v>132</v>
      </c>
      <c r="I7" s="17">
        <v>133</v>
      </c>
      <c r="J7" s="17">
        <v>134</v>
      </c>
      <c r="K7" s="17">
        <v>135</v>
      </c>
      <c r="L7" s="17">
        <v>136</v>
      </c>
      <c r="M7" s="42">
        <v>137</v>
      </c>
      <c r="N7" s="42">
        <v>138</v>
      </c>
      <c r="O7" s="42">
        <v>139</v>
      </c>
      <c r="P7" s="20">
        <v>140</v>
      </c>
      <c r="Q7" s="19">
        <v>141</v>
      </c>
      <c r="R7" s="7"/>
      <c r="S7" s="43" t="s">
        <v>50</v>
      </c>
      <c r="T7" s="27">
        <v>0.1</v>
      </c>
    </row>
    <row r="8" spans="1:21" ht="21" customHeight="1" x14ac:dyDescent="0.2">
      <c r="A8" s="4" t="s">
        <v>8</v>
      </c>
      <c r="B8" s="19">
        <v>110</v>
      </c>
      <c r="C8" s="20">
        <v>111</v>
      </c>
      <c r="D8" s="23">
        <v>112</v>
      </c>
      <c r="E8" s="23">
        <v>113</v>
      </c>
      <c r="F8" s="23">
        <v>114</v>
      </c>
      <c r="G8" s="17">
        <v>115</v>
      </c>
      <c r="H8" s="17">
        <v>116</v>
      </c>
      <c r="I8" s="17">
        <v>117</v>
      </c>
      <c r="J8" s="17">
        <v>118</v>
      </c>
      <c r="K8" s="17">
        <v>119</v>
      </c>
      <c r="L8" s="17">
        <v>120</v>
      </c>
      <c r="M8" s="42">
        <v>121</v>
      </c>
      <c r="N8" s="42">
        <v>122</v>
      </c>
      <c r="O8" s="42">
        <v>123</v>
      </c>
      <c r="P8" s="20">
        <v>124</v>
      </c>
      <c r="Q8" s="19">
        <v>125</v>
      </c>
      <c r="R8" s="7"/>
      <c r="T8" s="28">
        <f>SUM(T4:T7)</f>
        <v>0.99999999999999989</v>
      </c>
    </row>
    <row r="9" spans="1:21" ht="21" customHeight="1" x14ac:dyDescent="0.2">
      <c r="A9" s="4" t="s">
        <v>7</v>
      </c>
      <c r="B9" s="19">
        <v>94</v>
      </c>
      <c r="C9" s="20">
        <v>95</v>
      </c>
      <c r="D9" s="23">
        <v>96</v>
      </c>
      <c r="E9" s="23">
        <v>97</v>
      </c>
      <c r="F9" s="23">
        <v>98</v>
      </c>
      <c r="G9" s="17">
        <v>99</v>
      </c>
      <c r="H9" s="17">
        <v>100</v>
      </c>
      <c r="I9" s="17">
        <v>101</v>
      </c>
      <c r="J9" s="17">
        <v>102</v>
      </c>
      <c r="K9" s="17">
        <v>103</v>
      </c>
      <c r="L9" s="17">
        <v>104</v>
      </c>
      <c r="M9" s="42">
        <v>105</v>
      </c>
      <c r="N9" s="42">
        <v>106</v>
      </c>
      <c r="O9" s="42">
        <v>107</v>
      </c>
      <c r="P9" s="20">
        <v>108</v>
      </c>
      <c r="Q9" s="19">
        <v>109</v>
      </c>
      <c r="R9" s="7"/>
    </row>
    <row r="10" spans="1:21" ht="21" customHeight="1" x14ac:dyDescent="0.2">
      <c r="A10" s="4" t="s">
        <v>6</v>
      </c>
      <c r="B10" s="19">
        <v>78</v>
      </c>
      <c r="C10" s="20">
        <v>79</v>
      </c>
      <c r="D10" s="23">
        <v>80</v>
      </c>
      <c r="E10" s="23">
        <v>81</v>
      </c>
      <c r="F10" s="23">
        <v>82</v>
      </c>
      <c r="G10" s="17">
        <v>83</v>
      </c>
      <c r="H10" s="17">
        <v>84</v>
      </c>
      <c r="I10" s="17">
        <v>85</v>
      </c>
      <c r="J10" s="17">
        <v>86</v>
      </c>
      <c r="K10" s="17">
        <v>87</v>
      </c>
      <c r="L10" s="17">
        <v>88</v>
      </c>
      <c r="M10" s="42">
        <v>89</v>
      </c>
      <c r="N10" s="42">
        <v>90</v>
      </c>
      <c r="O10" s="42">
        <v>91</v>
      </c>
      <c r="P10" s="20">
        <v>92</v>
      </c>
      <c r="Q10" s="19">
        <v>93</v>
      </c>
      <c r="R10" s="7"/>
    </row>
    <row r="11" spans="1:21" ht="21" customHeight="1" x14ac:dyDescent="0.2">
      <c r="A11" s="4" t="s">
        <v>5</v>
      </c>
      <c r="B11" s="19">
        <v>62</v>
      </c>
      <c r="C11" s="20">
        <v>63</v>
      </c>
      <c r="D11" s="23">
        <v>64</v>
      </c>
      <c r="E11" s="23">
        <v>65</v>
      </c>
      <c r="F11" s="23">
        <v>66</v>
      </c>
      <c r="G11" s="17">
        <v>67</v>
      </c>
      <c r="H11" s="17">
        <v>68</v>
      </c>
      <c r="I11" s="17">
        <v>69</v>
      </c>
      <c r="J11" s="17">
        <v>70</v>
      </c>
      <c r="K11" s="17">
        <v>71</v>
      </c>
      <c r="L11" s="17">
        <v>72</v>
      </c>
      <c r="M11" s="42">
        <v>73</v>
      </c>
      <c r="N11" s="42">
        <v>74</v>
      </c>
      <c r="O11" s="42">
        <v>75</v>
      </c>
      <c r="P11" s="20">
        <v>76</v>
      </c>
      <c r="Q11" s="19">
        <v>77</v>
      </c>
      <c r="R11" s="7"/>
    </row>
    <row r="12" spans="1:21" ht="21" customHeight="1" x14ac:dyDescent="0.2">
      <c r="A12" s="4" t="s">
        <v>4</v>
      </c>
      <c r="B12" s="19">
        <v>47</v>
      </c>
      <c r="C12" s="24">
        <v>48</v>
      </c>
      <c r="D12" s="23">
        <v>49</v>
      </c>
      <c r="E12" s="23">
        <v>50</v>
      </c>
      <c r="F12" s="25">
        <v>51</v>
      </c>
      <c r="G12" s="23">
        <v>52</v>
      </c>
      <c r="H12" s="23">
        <v>53</v>
      </c>
      <c r="I12" s="25">
        <v>54</v>
      </c>
      <c r="J12" s="23">
        <v>55</v>
      </c>
      <c r="K12" s="23">
        <v>56</v>
      </c>
      <c r="L12" s="25">
        <v>57</v>
      </c>
      <c r="M12" s="23">
        <v>58</v>
      </c>
      <c r="N12" s="23">
        <v>59</v>
      </c>
      <c r="O12" s="25">
        <v>60</v>
      </c>
      <c r="P12" s="19">
        <v>61</v>
      </c>
      <c r="Q12" s="18"/>
      <c r="R12" s="7"/>
    </row>
    <row r="13" spans="1:21" ht="21" customHeight="1" x14ac:dyDescent="0.2">
      <c r="A13" s="4" t="s">
        <v>3</v>
      </c>
      <c r="B13" s="18"/>
      <c r="C13" s="19">
        <v>33</v>
      </c>
      <c r="D13" s="25">
        <v>34</v>
      </c>
      <c r="E13" s="23">
        <v>35</v>
      </c>
      <c r="F13" s="23">
        <v>36</v>
      </c>
      <c r="G13" s="25">
        <v>37</v>
      </c>
      <c r="H13" s="23">
        <v>38</v>
      </c>
      <c r="I13" s="23">
        <v>39</v>
      </c>
      <c r="J13" s="25">
        <v>40</v>
      </c>
      <c r="K13" s="23">
        <v>41</v>
      </c>
      <c r="L13" s="23">
        <v>42</v>
      </c>
      <c r="M13" s="25">
        <v>43</v>
      </c>
      <c r="N13" s="23">
        <v>44</v>
      </c>
      <c r="O13" s="23">
        <v>45</v>
      </c>
      <c r="P13" s="26">
        <v>46</v>
      </c>
      <c r="Q13" s="18"/>
      <c r="R13" s="7"/>
    </row>
    <row r="14" spans="1:21" ht="21" customHeight="1" x14ac:dyDescent="0.2">
      <c r="A14" s="4" t="s">
        <v>2</v>
      </c>
      <c r="B14" s="18"/>
      <c r="C14" s="19">
        <v>20</v>
      </c>
      <c r="D14" s="19">
        <v>21</v>
      </c>
      <c r="E14" s="23">
        <v>22</v>
      </c>
      <c r="F14" s="23">
        <v>23</v>
      </c>
      <c r="G14" s="23">
        <v>24</v>
      </c>
      <c r="H14" s="23">
        <v>25</v>
      </c>
      <c r="I14" s="23">
        <v>26</v>
      </c>
      <c r="J14" s="23">
        <v>27</v>
      </c>
      <c r="K14" s="23">
        <v>28</v>
      </c>
      <c r="L14" s="23">
        <v>29</v>
      </c>
      <c r="M14" s="23">
        <v>30</v>
      </c>
      <c r="N14" s="23">
        <v>31</v>
      </c>
      <c r="O14" s="19">
        <v>32</v>
      </c>
      <c r="P14" s="18"/>
      <c r="Q14" s="18"/>
      <c r="R14" s="7"/>
    </row>
    <row r="15" spans="1:21" ht="21" customHeight="1" x14ac:dyDescent="0.2">
      <c r="A15" s="8" t="s">
        <v>1</v>
      </c>
      <c r="B15" s="18"/>
      <c r="C15" s="18"/>
      <c r="D15" s="19">
        <v>9</v>
      </c>
      <c r="E15" s="19">
        <v>10</v>
      </c>
      <c r="F15" s="24">
        <v>11</v>
      </c>
      <c r="G15" s="20">
        <v>12</v>
      </c>
      <c r="H15" s="20">
        <v>13</v>
      </c>
      <c r="I15" s="20">
        <v>14</v>
      </c>
      <c r="J15" s="20">
        <v>15</v>
      </c>
      <c r="K15" s="20">
        <v>16</v>
      </c>
      <c r="L15" s="20">
        <v>17</v>
      </c>
      <c r="M15" s="19">
        <v>18</v>
      </c>
      <c r="N15" s="19">
        <v>19</v>
      </c>
      <c r="O15" s="18"/>
      <c r="P15" s="18"/>
      <c r="Q15" s="18"/>
      <c r="R15" s="7"/>
    </row>
    <row r="16" spans="1:21" ht="21" customHeight="1" x14ac:dyDescent="0.2">
      <c r="A16" s="4" t="s">
        <v>0</v>
      </c>
      <c r="B16" s="18"/>
      <c r="C16" s="18"/>
      <c r="D16" s="18"/>
      <c r="E16" s="18"/>
      <c r="F16" s="19">
        <v>1</v>
      </c>
      <c r="G16" s="26">
        <v>2</v>
      </c>
      <c r="H16" s="19">
        <v>3</v>
      </c>
      <c r="I16" s="19">
        <v>4</v>
      </c>
      <c r="J16" s="19">
        <v>5</v>
      </c>
      <c r="K16" s="19">
        <v>6</v>
      </c>
      <c r="L16" s="21">
        <v>7</v>
      </c>
      <c r="M16" s="19">
        <v>8</v>
      </c>
      <c r="N16" s="18"/>
      <c r="O16" s="18"/>
      <c r="P16" s="18"/>
      <c r="Q16" s="18"/>
    </row>
    <row r="17" spans="2:18" x14ac:dyDescent="0.2">
      <c r="B17" s="3" t="s">
        <v>16</v>
      </c>
      <c r="C17" s="6" t="s">
        <v>17</v>
      </c>
      <c r="D17" s="6" t="s">
        <v>18</v>
      </c>
      <c r="E17" s="6" t="s">
        <v>19</v>
      </c>
      <c r="F17" s="6" t="s">
        <v>20</v>
      </c>
      <c r="G17" s="6" t="s">
        <v>21</v>
      </c>
      <c r="H17" s="6" t="s">
        <v>22</v>
      </c>
      <c r="I17" s="6" t="s">
        <v>23</v>
      </c>
      <c r="J17" s="6" t="s">
        <v>24</v>
      </c>
      <c r="K17" s="6" t="s">
        <v>25</v>
      </c>
      <c r="L17" s="6" t="s">
        <v>26</v>
      </c>
      <c r="M17" s="6" t="s">
        <v>27</v>
      </c>
      <c r="N17" s="6" t="s">
        <v>28</v>
      </c>
      <c r="O17" s="6" t="s">
        <v>29</v>
      </c>
      <c r="P17" s="6" t="s">
        <v>30</v>
      </c>
      <c r="Q17" s="6" t="s">
        <v>31</v>
      </c>
      <c r="R17" s="7"/>
    </row>
    <row r="18" spans="2:18" x14ac:dyDescent="0.2"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</row>
    <row r="19" spans="2:18" x14ac:dyDescent="0.2"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</row>
    <row r="20" spans="2:18" x14ac:dyDescent="0.2"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</row>
    <row r="21" spans="2:18" x14ac:dyDescent="0.2"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</row>
    <row r="22" spans="2:18" x14ac:dyDescent="0.2"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</row>
    <row r="23" spans="2:18" x14ac:dyDescent="0.2"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</row>
    <row r="24" spans="2:18" x14ac:dyDescent="0.2"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</row>
    <row r="25" spans="2:18" x14ac:dyDescent="0.2"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</row>
    <row r="26" spans="2:18" x14ac:dyDescent="0.2"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</row>
    <row r="27" spans="2:18" x14ac:dyDescent="0.2"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</row>
    <row r="28" spans="2:18" x14ac:dyDescent="0.2"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</row>
    <row r="29" spans="2:18" x14ac:dyDescent="0.2"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</row>
    <row r="30" spans="2:18" x14ac:dyDescent="0.2"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</row>
    <row r="31" spans="2:18" x14ac:dyDescent="0.2"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</row>
    <row r="32" spans="2:18" x14ac:dyDescent="0.2"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59723-A7EE-49EB-86F7-D0C5BFB40890}">
  <sheetPr codeName="wsData"/>
  <dimension ref="A1:FU76"/>
  <sheetViews>
    <sheetView workbookViewId="0">
      <pane ySplit="1" topLeftCell="A2" activePane="bottomLeft" state="frozen"/>
      <selection pane="bottomLeft" activeCell="D20" sqref="D20"/>
    </sheetView>
  </sheetViews>
  <sheetFormatPr defaultRowHeight="15" x14ac:dyDescent="0.25"/>
  <cols>
    <col min="1" max="1" width="18.85546875" bestFit="1" customWidth="1"/>
    <col min="2" max="2" width="13.5703125" bestFit="1" customWidth="1"/>
    <col min="3" max="3" width="14.5703125" bestFit="1" customWidth="1"/>
    <col min="4" max="4" width="15.7109375" bestFit="1" customWidth="1"/>
    <col min="5" max="5" width="17.140625" bestFit="1" customWidth="1"/>
    <col min="6" max="6" width="16.28515625" bestFit="1" customWidth="1"/>
    <col min="7" max="7" width="12.5703125" bestFit="1" customWidth="1"/>
    <col min="8" max="8" width="11.42578125" bestFit="1" customWidth="1"/>
    <col min="9" max="10" width="11.85546875" bestFit="1" customWidth="1"/>
    <col min="11" max="11" width="9.5703125" bestFit="1" customWidth="1"/>
    <col min="12" max="12" width="9" bestFit="1" customWidth="1"/>
    <col min="13" max="13" width="11.85546875" bestFit="1" customWidth="1"/>
    <col min="14" max="153" width="9.5703125" bestFit="1" customWidth="1"/>
    <col min="154" max="177" width="8.85546875" bestFit="1" customWidth="1"/>
  </cols>
  <sheetData>
    <row r="1" spans="1:177" x14ac:dyDescent="0.25">
      <c r="A1" t="s">
        <v>38</v>
      </c>
      <c r="B1" t="s">
        <v>39</v>
      </c>
      <c r="C1" t="s">
        <v>44</v>
      </c>
      <c r="D1" t="s">
        <v>40</v>
      </c>
      <c r="E1" t="s">
        <v>41</v>
      </c>
      <c r="F1" t="s">
        <v>42</v>
      </c>
      <c r="G1" t="s">
        <v>56</v>
      </c>
      <c r="H1" t="s">
        <v>43</v>
      </c>
      <c r="I1" t="s">
        <v>57</v>
      </c>
      <c r="J1" t="s">
        <v>58</v>
      </c>
      <c r="K1" t="s">
        <v>59</v>
      </c>
      <c r="L1" t="s">
        <v>60</v>
      </c>
      <c r="M1" t="s">
        <v>55</v>
      </c>
      <c r="N1" t="s">
        <v>45</v>
      </c>
      <c r="O1" t="s">
        <v>64</v>
      </c>
      <c r="P1" t="s">
        <v>65</v>
      </c>
      <c r="Q1" t="s">
        <v>66</v>
      </c>
      <c r="R1" t="s">
        <v>67</v>
      </c>
      <c r="S1" t="s">
        <v>68</v>
      </c>
      <c r="T1" t="s">
        <v>69</v>
      </c>
      <c r="U1" t="s">
        <v>70</v>
      </c>
      <c r="V1" t="s">
        <v>71</v>
      </c>
      <c r="W1" t="s">
        <v>72</v>
      </c>
      <c r="X1" t="s">
        <v>73</v>
      </c>
      <c r="Y1" t="s">
        <v>74</v>
      </c>
      <c r="Z1" t="s">
        <v>75</v>
      </c>
      <c r="AA1" t="s">
        <v>76</v>
      </c>
      <c r="AB1" t="s">
        <v>77</v>
      </c>
      <c r="AC1" t="s">
        <v>78</v>
      </c>
      <c r="AD1" t="s">
        <v>79</v>
      </c>
      <c r="AE1" t="s">
        <v>80</v>
      </c>
      <c r="AF1" t="s">
        <v>81</v>
      </c>
      <c r="AG1" t="s">
        <v>82</v>
      </c>
      <c r="AH1" t="s">
        <v>83</v>
      </c>
      <c r="AI1" t="s">
        <v>84</v>
      </c>
      <c r="AJ1" t="s">
        <v>85</v>
      </c>
      <c r="AK1" t="s">
        <v>86</v>
      </c>
      <c r="AL1" t="s">
        <v>87</v>
      </c>
      <c r="AM1" t="s">
        <v>88</v>
      </c>
      <c r="AN1" t="s">
        <v>89</v>
      </c>
      <c r="AO1" t="s">
        <v>90</v>
      </c>
      <c r="AP1" t="s">
        <v>91</v>
      </c>
      <c r="AQ1" t="s">
        <v>92</v>
      </c>
      <c r="AR1" t="s">
        <v>93</v>
      </c>
      <c r="AS1" t="s">
        <v>94</v>
      </c>
      <c r="AT1" t="s">
        <v>95</v>
      </c>
      <c r="AU1" t="s">
        <v>96</v>
      </c>
      <c r="AV1" t="s">
        <v>97</v>
      </c>
      <c r="AW1" t="s">
        <v>98</v>
      </c>
      <c r="AX1" t="s">
        <v>99</v>
      </c>
      <c r="AY1" t="s">
        <v>100</v>
      </c>
      <c r="AZ1" t="s">
        <v>101</v>
      </c>
      <c r="BA1" t="s">
        <v>102</v>
      </c>
      <c r="BB1" t="s">
        <v>103</v>
      </c>
      <c r="BC1" t="s">
        <v>104</v>
      </c>
      <c r="BD1" t="s">
        <v>105</v>
      </c>
      <c r="BE1" t="s">
        <v>106</v>
      </c>
      <c r="BF1" t="s">
        <v>107</v>
      </c>
      <c r="BG1" t="s">
        <v>108</v>
      </c>
      <c r="BH1" t="s">
        <v>109</v>
      </c>
      <c r="BI1" t="s">
        <v>110</v>
      </c>
      <c r="BJ1" t="s">
        <v>111</v>
      </c>
      <c r="BK1" t="s">
        <v>112</v>
      </c>
      <c r="BL1" t="s">
        <v>113</v>
      </c>
      <c r="BM1" t="s">
        <v>114</v>
      </c>
      <c r="BN1" t="s">
        <v>115</v>
      </c>
      <c r="BO1" t="s">
        <v>116</v>
      </c>
      <c r="BP1" t="s">
        <v>117</v>
      </c>
      <c r="BQ1" t="s">
        <v>118</v>
      </c>
      <c r="BR1" t="s">
        <v>119</v>
      </c>
      <c r="BS1" t="s">
        <v>120</v>
      </c>
      <c r="BT1" t="s">
        <v>121</v>
      </c>
      <c r="BU1" t="s">
        <v>122</v>
      </c>
      <c r="BV1" t="s">
        <v>123</v>
      </c>
      <c r="BW1" t="s">
        <v>124</v>
      </c>
      <c r="BX1" t="s">
        <v>125</v>
      </c>
      <c r="BY1" t="s">
        <v>126</v>
      </c>
      <c r="BZ1" t="s">
        <v>127</v>
      </c>
      <c r="CA1" t="s">
        <v>128</v>
      </c>
      <c r="CB1" t="s">
        <v>129</v>
      </c>
      <c r="CC1" t="s">
        <v>130</v>
      </c>
      <c r="CD1" t="s">
        <v>131</v>
      </c>
      <c r="CE1" t="s">
        <v>132</v>
      </c>
      <c r="CF1" t="s">
        <v>133</v>
      </c>
      <c r="CG1" t="s">
        <v>134</v>
      </c>
      <c r="CH1" t="s">
        <v>135</v>
      </c>
      <c r="CI1" t="s">
        <v>136</v>
      </c>
      <c r="CJ1" t="s">
        <v>137</v>
      </c>
      <c r="CK1" t="s">
        <v>138</v>
      </c>
      <c r="CL1" t="s">
        <v>139</v>
      </c>
      <c r="CM1" t="s">
        <v>140</v>
      </c>
      <c r="CN1" t="s">
        <v>141</v>
      </c>
      <c r="CO1" t="s">
        <v>142</v>
      </c>
      <c r="CP1" t="s">
        <v>143</v>
      </c>
      <c r="CQ1" t="s">
        <v>144</v>
      </c>
      <c r="CR1" t="s">
        <v>145</v>
      </c>
      <c r="CS1" t="s">
        <v>146</v>
      </c>
      <c r="CT1" t="s">
        <v>147</v>
      </c>
      <c r="CU1" t="s">
        <v>148</v>
      </c>
      <c r="CV1" t="s">
        <v>149</v>
      </c>
      <c r="CW1" t="s">
        <v>150</v>
      </c>
      <c r="CX1" t="s">
        <v>151</v>
      </c>
      <c r="CY1" t="s">
        <v>152</v>
      </c>
      <c r="CZ1" t="s">
        <v>153</v>
      </c>
      <c r="DA1" t="s">
        <v>154</v>
      </c>
      <c r="DB1" t="s">
        <v>155</v>
      </c>
      <c r="DC1" t="s">
        <v>156</v>
      </c>
      <c r="DD1" t="s">
        <v>157</v>
      </c>
      <c r="DE1" t="s">
        <v>158</v>
      </c>
      <c r="DF1" t="s">
        <v>159</v>
      </c>
      <c r="DG1" t="s">
        <v>160</v>
      </c>
      <c r="DH1" t="s">
        <v>161</v>
      </c>
      <c r="DI1" t="s">
        <v>162</v>
      </c>
      <c r="DJ1" t="s">
        <v>163</v>
      </c>
      <c r="DK1" t="s">
        <v>164</v>
      </c>
      <c r="DL1" t="s">
        <v>165</v>
      </c>
      <c r="DM1" t="s">
        <v>166</v>
      </c>
      <c r="DN1" t="s">
        <v>167</v>
      </c>
      <c r="DO1" t="s">
        <v>168</v>
      </c>
      <c r="DP1" t="s">
        <v>169</v>
      </c>
      <c r="DQ1" t="s">
        <v>170</v>
      </c>
      <c r="DR1" t="s">
        <v>171</v>
      </c>
      <c r="DS1" t="s">
        <v>172</v>
      </c>
      <c r="DT1" t="s">
        <v>173</v>
      </c>
      <c r="DU1" t="s">
        <v>174</v>
      </c>
      <c r="DV1" t="s">
        <v>175</v>
      </c>
      <c r="DW1" t="s">
        <v>176</v>
      </c>
      <c r="DX1" t="s">
        <v>177</v>
      </c>
      <c r="DY1" t="s">
        <v>178</v>
      </c>
      <c r="DZ1" t="s">
        <v>179</v>
      </c>
      <c r="EA1" t="s">
        <v>180</v>
      </c>
      <c r="EB1" t="s">
        <v>181</v>
      </c>
      <c r="EC1" t="s">
        <v>182</v>
      </c>
      <c r="ED1" t="s">
        <v>183</v>
      </c>
      <c r="EE1" t="s">
        <v>184</v>
      </c>
      <c r="EF1" t="s">
        <v>185</v>
      </c>
      <c r="EG1" t="s">
        <v>186</v>
      </c>
      <c r="EH1" t="s">
        <v>187</v>
      </c>
      <c r="EI1" t="s">
        <v>188</v>
      </c>
      <c r="EJ1" t="s">
        <v>189</v>
      </c>
      <c r="EK1" t="s">
        <v>190</v>
      </c>
      <c r="EL1" t="s">
        <v>191</v>
      </c>
      <c r="EM1" t="s">
        <v>192</v>
      </c>
      <c r="EN1" t="s">
        <v>193</v>
      </c>
      <c r="EO1" t="s">
        <v>194</v>
      </c>
      <c r="EP1" t="s">
        <v>195</v>
      </c>
      <c r="EQ1" t="s">
        <v>196</v>
      </c>
      <c r="ER1" t="s">
        <v>197</v>
      </c>
      <c r="ES1" t="s">
        <v>198</v>
      </c>
      <c r="ET1" t="s">
        <v>199</v>
      </c>
      <c r="EU1" t="s">
        <v>200</v>
      </c>
      <c r="EV1" t="s">
        <v>201</v>
      </c>
      <c r="EW1" t="s">
        <v>202</v>
      </c>
      <c r="EX1" t="s">
        <v>203</v>
      </c>
      <c r="EY1" t="s">
        <v>204</v>
      </c>
      <c r="EZ1" t="s">
        <v>205</v>
      </c>
      <c r="FA1" t="s">
        <v>206</v>
      </c>
      <c r="FB1" t="s">
        <v>207</v>
      </c>
      <c r="FC1" t="s">
        <v>208</v>
      </c>
      <c r="FD1" t="s">
        <v>209</v>
      </c>
      <c r="FE1" t="s">
        <v>210</v>
      </c>
      <c r="FF1" t="s">
        <v>211</v>
      </c>
      <c r="FG1" t="s">
        <v>212</v>
      </c>
      <c r="FH1" t="s">
        <v>213</v>
      </c>
      <c r="FI1" t="s">
        <v>214</v>
      </c>
      <c r="FJ1" t="s">
        <v>215</v>
      </c>
      <c r="FK1" t="s">
        <v>216</v>
      </c>
      <c r="FL1" t="s">
        <v>217</v>
      </c>
      <c r="FM1" t="s">
        <v>218</v>
      </c>
      <c r="FN1" t="s">
        <v>219</v>
      </c>
      <c r="FO1" t="s">
        <v>220</v>
      </c>
      <c r="FP1" t="s">
        <v>221</v>
      </c>
      <c r="FQ1" t="s">
        <v>222</v>
      </c>
      <c r="FR1" t="s">
        <v>223</v>
      </c>
      <c r="FS1" t="s">
        <v>224</v>
      </c>
      <c r="FT1" t="s">
        <v>225</v>
      </c>
      <c r="FU1" t="s">
        <v>226</v>
      </c>
    </row>
    <row r="2" spans="1:177" x14ac:dyDescent="0.25">
      <c r="D2" s="44"/>
      <c r="F2" s="44"/>
    </row>
    <row r="3" spans="1:177" x14ac:dyDescent="0.25">
      <c r="D3" s="44"/>
      <c r="F3" s="44"/>
      <c r="M3" s="46"/>
    </row>
    <row r="4" spans="1:177" x14ac:dyDescent="0.25">
      <c r="D4" s="44"/>
      <c r="F4" s="44"/>
      <c r="M4" s="46"/>
    </row>
    <row r="5" spans="1:177" x14ac:dyDescent="0.25">
      <c r="D5" s="44"/>
      <c r="F5" s="44"/>
    </row>
    <row r="6" spans="1:177" x14ac:dyDescent="0.25">
      <c r="D6" s="44"/>
      <c r="F6" s="44"/>
      <c r="M6" s="46"/>
    </row>
    <row r="7" spans="1:177" x14ac:dyDescent="0.25">
      <c r="D7" s="44"/>
      <c r="F7" s="44"/>
      <c r="M7" s="46"/>
    </row>
    <row r="8" spans="1:177" x14ac:dyDescent="0.25">
      <c r="D8" s="44"/>
      <c r="F8" s="44"/>
    </row>
    <row r="9" spans="1:177" x14ac:dyDescent="0.25">
      <c r="D9" s="44"/>
      <c r="F9" s="44"/>
      <c r="M9" s="46"/>
    </row>
    <row r="10" spans="1:177" x14ac:dyDescent="0.25">
      <c r="D10" s="44"/>
      <c r="F10" s="44"/>
      <c r="M10" s="46"/>
    </row>
    <row r="11" spans="1:177" x14ac:dyDescent="0.25">
      <c r="D11" s="44"/>
      <c r="F11" s="44"/>
    </row>
    <row r="12" spans="1:177" x14ac:dyDescent="0.25">
      <c r="D12" s="44"/>
      <c r="F12" s="44"/>
      <c r="M12" s="46"/>
    </row>
    <row r="13" spans="1:177" x14ac:dyDescent="0.25">
      <c r="D13" s="44"/>
      <c r="F13" s="44"/>
      <c r="M13" s="46"/>
    </row>
    <row r="14" spans="1:177" x14ac:dyDescent="0.25">
      <c r="D14" s="44"/>
      <c r="F14" s="44"/>
    </row>
    <row r="15" spans="1:177" x14ac:dyDescent="0.25">
      <c r="D15" s="44"/>
      <c r="F15" s="44"/>
      <c r="M15" s="46"/>
    </row>
    <row r="16" spans="1:177" x14ac:dyDescent="0.25">
      <c r="D16" s="44"/>
      <c r="F16" s="44"/>
      <c r="M16" s="46"/>
    </row>
    <row r="17" spans="4:13" x14ac:dyDescent="0.25">
      <c r="D17" s="44"/>
      <c r="F17" s="44"/>
    </row>
    <row r="18" spans="4:13" x14ac:dyDescent="0.25">
      <c r="D18" s="44"/>
      <c r="F18" s="44"/>
      <c r="M18" s="46"/>
    </row>
    <row r="19" spans="4:13" x14ac:dyDescent="0.25">
      <c r="D19" s="44"/>
      <c r="F19" s="44"/>
      <c r="M19" s="46"/>
    </row>
    <row r="20" spans="4:13" x14ac:dyDescent="0.25">
      <c r="D20" s="44"/>
      <c r="F20" s="44"/>
    </row>
    <row r="21" spans="4:13" x14ac:dyDescent="0.25">
      <c r="D21" s="44"/>
      <c r="F21" s="44"/>
      <c r="M21" s="46"/>
    </row>
    <row r="22" spans="4:13" x14ac:dyDescent="0.25">
      <c r="D22" s="44"/>
      <c r="F22" s="44"/>
      <c r="M22" s="46"/>
    </row>
    <row r="23" spans="4:13" x14ac:dyDescent="0.25">
      <c r="D23" s="44"/>
      <c r="F23" s="44"/>
    </row>
    <row r="24" spans="4:13" x14ac:dyDescent="0.25">
      <c r="D24" s="44"/>
      <c r="F24" s="44"/>
      <c r="M24" s="46"/>
    </row>
    <row r="25" spans="4:13" x14ac:dyDescent="0.25">
      <c r="D25" s="44"/>
      <c r="F25" s="44"/>
      <c r="M25" s="46"/>
    </row>
    <row r="26" spans="4:13" x14ac:dyDescent="0.25">
      <c r="D26" s="44"/>
      <c r="F26" s="44"/>
    </row>
    <row r="27" spans="4:13" x14ac:dyDescent="0.25">
      <c r="D27" s="44"/>
      <c r="F27" s="44"/>
      <c r="M27" s="46"/>
    </row>
    <row r="28" spans="4:13" x14ac:dyDescent="0.25">
      <c r="D28" s="44"/>
      <c r="F28" s="44"/>
      <c r="M28" s="46"/>
    </row>
    <row r="29" spans="4:13" x14ac:dyDescent="0.25">
      <c r="D29" s="44"/>
      <c r="F29" s="44"/>
    </row>
    <row r="30" spans="4:13" x14ac:dyDescent="0.25">
      <c r="D30" s="44"/>
      <c r="F30" s="44"/>
      <c r="M30" s="46"/>
    </row>
    <row r="31" spans="4:13" x14ac:dyDescent="0.25">
      <c r="D31" s="44"/>
      <c r="F31" s="44"/>
      <c r="M31" s="46"/>
    </row>
    <row r="32" spans="4:13" x14ac:dyDescent="0.25">
      <c r="D32" s="44"/>
      <c r="F32" s="44"/>
    </row>
    <row r="33" spans="4:13" x14ac:dyDescent="0.25">
      <c r="D33" s="44"/>
      <c r="F33" s="44"/>
      <c r="M33" s="46"/>
    </row>
    <row r="34" spans="4:13" x14ac:dyDescent="0.25">
      <c r="D34" s="44"/>
      <c r="F34" s="44"/>
      <c r="M34" s="46"/>
    </row>
    <row r="35" spans="4:13" x14ac:dyDescent="0.25">
      <c r="D35" s="44"/>
      <c r="F35" s="44"/>
    </row>
    <row r="36" spans="4:13" x14ac:dyDescent="0.25">
      <c r="D36" s="44"/>
      <c r="F36" s="44"/>
      <c r="M36" s="45"/>
    </row>
    <row r="37" spans="4:13" x14ac:dyDescent="0.25">
      <c r="D37" s="44"/>
      <c r="F37" s="44"/>
      <c r="M37" s="45"/>
    </row>
    <row r="38" spans="4:13" x14ac:dyDescent="0.25">
      <c r="D38" s="44"/>
      <c r="F38" s="44"/>
    </row>
    <row r="39" spans="4:13" x14ac:dyDescent="0.25">
      <c r="D39" s="44"/>
      <c r="F39" s="44"/>
      <c r="M39" s="45"/>
    </row>
    <row r="40" spans="4:13" x14ac:dyDescent="0.25">
      <c r="D40" s="44"/>
      <c r="F40" s="44"/>
      <c r="M40" s="45"/>
    </row>
    <row r="41" spans="4:13" x14ac:dyDescent="0.25">
      <c r="D41" s="44"/>
      <c r="F41" s="44"/>
    </row>
    <row r="42" spans="4:13" x14ac:dyDescent="0.25">
      <c r="D42" s="44"/>
      <c r="F42" s="44"/>
      <c r="M42" s="46"/>
    </row>
    <row r="43" spans="4:13" x14ac:dyDescent="0.25">
      <c r="D43" s="44"/>
      <c r="F43" s="44"/>
      <c r="M43" s="46"/>
    </row>
    <row r="44" spans="4:13" x14ac:dyDescent="0.25">
      <c r="D44" s="44"/>
      <c r="F44" s="44"/>
    </row>
    <row r="45" spans="4:13" x14ac:dyDescent="0.25">
      <c r="D45" s="44"/>
      <c r="F45" s="44"/>
      <c r="M45" s="46"/>
    </row>
    <row r="46" spans="4:13" x14ac:dyDescent="0.25">
      <c r="D46" s="44"/>
      <c r="F46" s="44"/>
      <c r="M46" s="46"/>
    </row>
    <row r="47" spans="4:13" x14ac:dyDescent="0.25">
      <c r="D47" s="44"/>
      <c r="F47" s="44"/>
    </row>
    <row r="48" spans="4:13" x14ac:dyDescent="0.25">
      <c r="D48" s="44"/>
      <c r="F48" s="44"/>
      <c r="M48" s="46"/>
    </row>
    <row r="49" spans="4:13" x14ac:dyDescent="0.25">
      <c r="D49" s="44"/>
      <c r="F49" s="44"/>
      <c r="M49" s="46"/>
    </row>
    <row r="50" spans="4:13" x14ac:dyDescent="0.25">
      <c r="D50" s="44"/>
      <c r="F50" s="44"/>
    </row>
    <row r="51" spans="4:13" x14ac:dyDescent="0.25">
      <c r="D51" s="44"/>
      <c r="F51" s="44"/>
      <c r="M51" s="46"/>
    </row>
    <row r="52" spans="4:13" x14ac:dyDescent="0.25">
      <c r="D52" s="44"/>
      <c r="F52" s="44"/>
      <c r="M52" s="46"/>
    </row>
    <row r="53" spans="4:13" x14ac:dyDescent="0.25">
      <c r="D53" s="44"/>
      <c r="F53" s="44"/>
    </row>
    <row r="54" spans="4:13" x14ac:dyDescent="0.25">
      <c r="D54" s="44"/>
      <c r="F54" s="44"/>
      <c r="M54" s="46"/>
    </row>
    <row r="55" spans="4:13" x14ac:dyDescent="0.25">
      <c r="D55" s="44"/>
      <c r="F55" s="44"/>
      <c r="M55" s="46"/>
    </row>
    <row r="56" spans="4:13" x14ac:dyDescent="0.25">
      <c r="D56" s="44"/>
      <c r="F56" s="44"/>
    </row>
    <row r="57" spans="4:13" x14ac:dyDescent="0.25">
      <c r="D57" s="44"/>
      <c r="F57" s="44"/>
      <c r="M57" s="46"/>
    </row>
    <row r="58" spans="4:13" x14ac:dyDescent="0.25">
      <c r="D58" s="44"/>
      <c r="F58" s="44"/>
      <c r="M58" s="46"/>
    </row>
    <row r="59" spans="4:13" x14ac:dyDescent="0.25">
      <c r="D59" s="44"/>
      <c r="F59" s="44"/>
    </row>
    <row r="60" spans="4:13" x14ac:dyDescent="0.25">
      <c r="D60" s="44"/>
      <c r="F60" s="44"/>
    </row>
    <row r="61" spans="4:13" x14ac:dyDescent="0.25">
      <c r="D61" s="44"/>
      <c r="F61" s="44"/>
    </row>
    <row r="62" spans="4:13" x14ac:dyDescent="0.25">
      <c r="D62" s="44"/>
      <c r="F62" s="44"/>
    </row>
    <row r="63" spans="4:13" x14ac:dyDescent="0.25">
      <c r="D63" s="44"/>
      <c r="F63" s="44"/>
    </row>
    <row r="64" spans="4:13" x14ac:dyDescent="0.25">
      <c r="D64" s="44"/>
      <c r="F64" s="44"/>
      <c r="M64" s="45"/>
    </row>
    <row r="65" spans="4:6" x14ac:dyDescent="0.25">
      <c r="D65" s="44"/>
      <c r="F65" s="44"/>
    </row>
    <row r="66" spans="4:6" x14ac:dyDescent="0.25">
      <c r="D66" s="44"/>
      <c r="F66" s="44"/>
    </row>
    <row r="67" spans="4:6" x14ac:dyDescent="0.25">
      <c r="D67" s="44"/>
      <c r="F67" s="44"/>
    </row>
    <row r="68" spans="4:6" x14ac:dyDescent="0.25">
      <c r="D68" s="44"/>
      <c r="F68" s="44"/>
    </row>
    <row r="69" spans="4:6" x14ac:dyDescent="0.25">
      <c r="D69" s="44"/>
      <c r="F69" s="44"/>
    </row>
    <row r="70" spans="4:6" x14ac:dyDescent="0.25">
      <c r="D70" s="44"/>
      <c r="F70" s="44"/>
    </row>
    <row r="71" spans="4:6" x14ac:dyDescent="0.25">
      <c r="D71" s="44"/>
      <c r="F71" s="44"/>
    </row>
    <row r="72" spans="4:6" x14ac:dyDescent="0.25">
      <c r="D72" s="44"/>
      <c r="F72" s="44"/>
    </row>
    <row r="73" spans="4:6" x14ac:dyDescent="0.25">
      <c r="D73" s="44"/>
      <c r="F73" s="44"/>
    </row>
    <row r="74" spans="4:6" x14ac:dyDescent="0.25">
      <c r="D74" s="44"/>
      <c r="F74" s="44"/>
    </row>
    <row r="75" spans="4:6" x14ac:dyDescent="0.25">
      <c r="D75" s="44"/>
      <c r="F75" s="44"/>
    </row>
    <row r="76" spans="4:6" x14ac:dyDescent="0.25">
      <c r="D76" s="44"/>
      <c r="F76" s="44"/>
    </row>
  </sheetData>
  <autoFilter ref="A1:AB1" xr:uid="{80559723-A7EE-49EB-86F7-D0C5BFB40890}"/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Caluculator</vt:lpstr>
      <vt:lpstr>Settings</vt:lpstr>
      <vt:lpstr>Data</vt:lpstr>
      <vt:lpstr>rngBitTotal</vt:lpstr>
      <vt:lpstr>rngBitumen</vt:lpstr>
      <vt:lpstr>Caluculator!rngBotLeft</vt:lpstr>
      <vt:lpstr>Settings!rngBotLeft</vt:lpstr>
      <vt:lpstr>rngCellSamp</vt:lpstr>
      <vt:lpstr>rngCellSampRep</vt:lpstr>
      <vt:lpstr>Settings!rngCenter</vt:lpstr>
      <vt:lpstr>rngCenterWeight</vt:lpstr>
      <vt:lpstr>rngCentParBit</vt:lpstr>
      <vt:lpstr>rngCentParTWP</vt:lpstr>
      <vt:lpstr>rngCentSq</vt:lpstr>
      <vt:lpstr>rngCentTot</vt:lpstr>
      <vt:lpstr>rngCol</vt:lpstr>
      <vt:lpstr>Data!rngCollDate</vt:lpstr>
      <vt:lpstr>rngCollDate</vt:lpstr>
      <vt:lpstr>Data!rngDataType</vt:lpstr>
      <vt:lpstr>Settings!rngEdge</vt:lpstr>
      <vt:lpstr>rngEdgeParBit</vt:lpstr>
      <vt:lpstr>rngEdgeParTWP</vt:lpstr>
      <vt:lpstr>rngEdgeSq</vt:lpstr>
      <vt:lpstr>rngEdgeTot</vt:lpstr>
      <vt:lpstr>rngEdgeWeight</vt:lpstr>
      <vt:lpstr>Settings!rngMiddle</vt:lpstr>
      <vt:lpstr>rngMiddleWeight</vt:lpstr>
      <vt:lpstr>rngMidParBit</vt:lpstr>
      <vt:lpstr>rngMidParTWP</vt:lpstr>
      <vt:lpstr>rngMidSq</vt:lpstr>
      <vt:lpstr>rngMidTot</vt:lpstr>
      <vt:lpstr>Settings!rngPartial</vt:lpstr>
      <vt:lpstr>rngPartialWeight</vt:lpstr>
      <vt:lpstr>rngParTotal</vt:lpstr>
      <vt:lpstr>rngPartParBit</vt:lpstr>
      <vt:lpstr>rngPartParTWP</vt:lpstr>
      <vt:lpstr>rngPartSq</vt:lpstr>
      <vt:lpstr>rngPartTot</vt:lpstr>
      <vt:lpstr>Data!rngProcDate</vt:lpstr>
      <vt:lpstr>rngProcDate</vt:lpstr>
      <vt:lpstr>rngRow</vt:lpstr>
      <vt:lpstr>Data!rngSampLoc</vt:lpstr>
      <vt:lpstr>rngSampLoc</vt:lpstr>
      <vt:lpstr>Data!rngSampName</vt:lpstr>
      <vt:lpstr>rngSampName</vt:lpstr>
      <vt:lpstr>rngSampNum</vt:lpstr>
      <vt:lpstr>Data!rngSampType</vt:lpstr>
      <vt:lpstr>rngSampType</vt:lpstr>
      <vt:lpstr>Data!rngSepStage</vt:lpstr>
      <vt:lpstr>rngSepStage</vt:lpstr>
      <vt:lpstr>Data!rngSq1</vt:lpstr>
      <vt:lpstr>rngSqTotal</vt:lpstr>
      <vt:lpstr>rngTWP</vt:lpstr>
      <vt:lpstr>rngTwpTotal</vt:lpstr>
      <vt:lpstr>rngZone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Stanfill</dc:creator>
  <cp:lastModifiedBy>Kayli Paterson</cp:lastModifiedBy>
  <cp:lastPrinted>2021-02-18T21:14:13Z</cp:lastPrinted>
  <dcterms:created xsi:type="dcterms:W3CDTF">2021-02-18T21:05:37Z</dcterms:created>
  <dcterms:modified xsi:type="dcterms:W3CDTF">2023-01-26T15:06:50Z</dcterms:modified>
</cp:coreProperties>
</file>